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3_output_data\03_runs_iaee_2026\03_evaluation\"/>
    </mc:Choice>
  </mc:AlternateContent>
  <xr:revisionPtr revIDLastSave="0" documentId="13_ncr:1_{FD2DD555-F908-4B4D-9CFA-AC99BD40BE4C}" xr6:coauthVersionLast="47" xr6:coauthVersionMax="47" xr10:uidLastSave="{00000000-0000-0000-0000-000000000000}"/>
  <bookViews>
    <workbookView xWindow="-110" yWindow="-110" windowWidth="19420" windowHeight="11500" activeTab="1" xr2:uid="{3BB5C906-8FA9-43D8-B9CC-89F65EA8A47E}"/>
  </bookViews>
  <sheets>
    <sheet name="Comparison_szenarios" sheetId="2" r:id="rId1"/>
    <sheet name="Comparison_sensitiviti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 l="1"/>
  <c r="I2" i="2" l="1"/>
</calcChain>
</file>

<file path=xl/sharedStrings.xml><?xml version="1.0" encoding="utf-8"?>
<sst xmlns="http://schemas.openxmlformats.org/spreadsheetml/2006/main" count="86" uniqueCount="50">
  <si>
    <t>run_name</t>
  </si>
  <si>
    <t>LCOE [Euro/MWh]</t>
  </si>
  <si>
    <t>LCOE [Euro/t]</t>
  </si>
  <si>
    <t>total_investment</t>
  </si>
  <si>
    <t>annual_costs</t>
  </si>
  <si>
    <t>energy_production [MWh]</t>
  </si>
  <si>
    <t>energy_production [t]</t>
  </si>
  <si>
    <t>pcf_value</t>
  </si>
  <si>
    <t>Size electrolyser</t>
  </si>
  <si>
    <t>annual_rev</t>
  </si>
  <si>
    <t>scenario</t>
  </si>
  <si>
    <t>methanol</t>
  </si>
  <si>
    <t>ammonia</t>
  </si>
  <si>
    <t>Escondida</t>
  </si>
  <si>
    <t>Intersection</t>
  </si>
  <si>
    <t>Puerto Coloso</t>
  </si>
  <si>
    <t>methanol escondida lifetime 10p down</t>
  </si>
  <si>
    <t>methanol escondida lifetime 5p down</t>
  </si>
  <si>
    <t>methanol escondida lifetime 5p up</t>
  </si>
  <si>
    <t>methanol escondida lifetime 10p up</t>
  </si>
  <si>
    <t>methanol escondida WACC 10p down</t>
  </si>
  <si>
    <t>methanol escondida WACC 5p down</t>
  </si>
  <si>
    <t>methanol escondida WACC 5p up</t>
  </si>
  <si>
    <t>methanol escondida WACC 10p up</t>
  </si>
  <si>
    <t>methanol escondida inv 10p down</t>
  </si>
  <si>
    <t>methanol escondida inv 5p down</t>
  </si>
  <si>
    <t>methanol escondida inv 5p up</t>
  </si>
  <si>
    <t>methanol escondida inv 10p up</t>
  </si>
  <si>
    <t>methanol escondida CO2 10p down</t>
  </si>
  <si>
    <t>methanol escondida power price 10p down</t>
  </si>
  <si>
    <t>methanol escondida power price 05p down</t>
  </si>
  <si>
    <t>methanol escondida power price 05p up</t>
  </si>
  <si>
    <t>methanol escondida power price 10p up</t>
  </si>
  <si>
    <t>methanol escondida</t>
  </si>
  <si>
    <t>methanol escondida CO2 05p down</t>
  </si>
  <si>
    <t>methanol escondida CO2 05p up</t>
  </si>
  <si>
    <t>methanol escondida CO2 10p up</t>
  </si>
  <si>
    <t>methanol escondida demand 10p down</t>
  </si>
  <si>
    <t>methanol escondida demand 05 down</t>
  </si>
  <si>
    <t>methanol escondida demand 05p up</t>
  </si>
  <si>
    <t>methanol escondida demand 10p up</t>
  </si>
  <si>
    <t>methanol escondida eff 10p down</t>
  </si>
  <si>
    <t>methanol escondida eff 05p down</t>
  </si>
  <si>
    <t>methanol escondida eff 05p up</t>
  </si>
  <si>
    <t>methanol escondida eff 10p up</t>
  </si>
  <si>
    <t>type</t>
  </si>
  <si>
    <t>base</t>
  </si>
  <si>
    <t>fix cost</t>
  </si>
  <si>
    <t>variable cost</t>
  </si>
  <si>
    <t>methanol escondida traif 10p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</si>
</sst>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Font="1" applyFill="1" applyBorder="1"/>
    <xf numFmtId="4" fontId="0" fillId="0" borderId="0" xfId="0" applyNumberFormat="1" applyBorder="1"/>
    <xf numFmtId="0" fontId="0" fillId="0" borderId="0" xfId="0" applyFont="1" applyBorder="1"/>
    <xf numFmtId="0" fontId="0" fillId="0" borderId="2" xfId="0" applyFont="1" applyBorder="1"/>
    <xf numFmtId="0" fontId="0" fillId="0" borderId="0" xfId="0" applyBorder="1"/>
  </cellXfs>
  <cellStyles count="1">
    <cellStyle name="Normal" xfId="0" builtinId="0"/>
  </cellStyles>
  <dxfs count="1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0CD82-EF7A-4E40-8E75-04BE9F55963D}" name="Table2" displayName="Table2" ref="A1:K7" totalsRowShown="0">
  <autoFilter ref="A1:K7" xr:uid="{3A20CD82-EF7A-4E40-8E75-04BE9F55963D}"/>
  <sortState xmlns:xlrd2="http://schemas.microsoft.com/office/spreadsheetml/2017/richdata2" ref="A2:K6">
    <sortCondition ref="A1:A6"/>
  </sortState>
  <tableColumns count="11">
    <tableColumn id="1" xr3:uid="{6128FCF1-7EAF-4DB9-AB65-A4970FF7A7B8}" name="run_name"/>
    <tableColumn id="9" xr3:uid="{E1E483D4-117D-4835-9726-D5751F56EFA1}" name="scenario" dataDxfId="11"/>
    <tableColumn id="2" xr3:uid="{57DD338E-2930-40CB-AC06-11C7900CEBAE}" name="LCOE [Euro/MWh]" dataDxfId="10"/>
    <tableColumn id="3" xr3:uid="{348EEC01-2159-40EC-A41A-F770A2113C35}" name="LCOE [Euro/t]" dataDxfId="9"/>
    <tableColumn id="4" xr3:uid="{E1A32900-AFFC-4CA8-9A80-FDDFC927842B}" name="total_investment" dataDxfId="8"/>
    <tableColumn id="5" xr3:uid="{9BDBD209-C39F-484C-957B-614102BD4B2E}" name="annual_costs" dataDxfId="7"/>
    <tableColumn id="12" xr3:uid="{2F1A07E8-34B3-485A-A334-6B4F6D50721B}" name="annual_rev" dataDxfId="6"/>
    <tableColumn id="6" xr3:uid="{B1C9F88F-C828-404D-9F5C-8363B244D4A6}" name="energy_production [MWh]" dataDxfId="5"/>
    <tableColumn id="7" xr3:uid="{DFDA2CA3-CD6F-466B-81A4-84B9B62CB2C6}" name="energy_production [t]" dataDxfId="4">
      <calculatedColumnFormula>Table2[[#This Row],[energy_production '[MWh']]]*3.6/19.9</calculatedColumnFormula>
    </tableColumn>
    <tableColumn id="8" xr3:uid="{C340BB5F-846A-40DD-949F-DC14F9BEBD65}" name="pcf_value" dataDxfId="3"/>
    <tableColumn id="11" xr3:uid="{3E078780-172C-4BE9-A08D-3FB4DFE536AE}" name="Size electrolyser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D8C3B7-1CFE-4D76-BF2B-418405C32F6D}" name="Table3" displayName="Table3" ref="A1:D31" totalsRowShown="0">
  <autoFilter ref="A1:D31" xr:uid="{1ED8C3B7-1CFE-4D76-BF2B-418405C32F6D}"/>
  <tableColumns count="4">
    <tableColumn id="1" xr3:uid="{8869914E-4BE8-401C-AC76-C6570071019E}" name="run_name"/>
    <tableColumn id="4" xr3:uid="{96123E5C-038E-4A38-8295-89FC853EE7AF}" name="type"/>
    <tableColumn id="2" xr3:uid="{EDC23835-EE0F-4ABC-9DD3-CB899B7BD1E4}" name="LCOE [Euro/MWh]" dataDxfId="1"/>
    <tableColumn id="3" xr3:uid="{7F3B94FF-49AD-4295-99F8-AE1E37B8E7F6}" name="LCOE [Euro/t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0D5D-FFCC-4E02-B3EF-17A6B47B78F2}">
  <dimension ref="A1:K7"/>
  <sheetViews>
    <sheetView workbookViewId="0">
      <selection activeCell="C2" sqref="C2:D2"/>
    </sheetView>
  </sheetViews>
  <sheetFormatPr defaultRowHeight="14.5" x14ac:dyDescent="0.35"/>
  <cols>
    <col min="1" max="1" width="11.1796875" customWidth="1"/>
    <col min="2" max="2" width="23.54296875" bestFit="1" customWidth="1"/>
    <col min="3" max="3" width="17.54296875" customWidth="1"/>
    <col min="4" max="4" width="14" customWidth="1"/>
    <col min="5" max="5" width="16.90625" customWidth="1"/>
    <col min="6" max="7" width="13.90625" customWidth="1"/>
    <col min="8" max="8" width="24.1796875" customWidth="1"/>
    <col min="9" max="9" width="20.6328125" customWidth="1"/>
    <col min="10" max="10" width="10.90625" customWidth="1"/>
  </cols>
  <sheetData>
    <row r="1" spans="1:11" x14ac:dyDescent="0.3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A2" t="s">
        <v>11</v>
      </c>
      <c r="B2" t="s">
        <v>13</v>
      </c>
      <c r="C2" s="2">
        <v>79.071974149980875</v>
      </c>
      <c r="D2" s="2">
        <v>437.09230155128313</v>
      </c>
      <c r="E2" s="2">
        <v>1439202196.4283404</v>
      </c>
      <c r="F2" s="2">
        <v>158923059.39427376</v>
      </c>
      <c r="G2" s="2">
        <v>-111623971.71011424</v>
      </c>
      <c r="H2" s="2">
        <v>2303240.7400001828</v>
      </c>
      <c r="I2" s="2">
        <f>Table2[[#This Row],[energy_production '[MWh']]]*3.6/19.9</f>
        <v>416666.6665326964</v>
      </c>
      <c r="J2" s="2">
        <v>10.674776188588581</v>
      </c>
      <c r="K2" s="2">
        <v>560.58525239633445</v>
      </c>
    </row>
    <row r="3" spans="1:11" x14ac:dyDescent="0.35">
      <c r="A3" t="s">
        <v>11</v>
      </c>
      <c r="B3" s="1" t="s">
        <v>14</v>
      </c>
      <c r="C3" s="2">
        <v>78.310114411629584</v>
      </c>
      <c r="D3" s="2">
        <v>432.88091021984127</v>
      </c>
      <c r="E3" s="2">
        <v>1724142064.7525234</v>
      </c>
      <c r="F3" s="2">
        <v>146979029.99000928</v>
      </c>
      <c r="G3" s="2">
        <v>-128127507.66122434</v>
      </c>
      <c r="H3" s="2">
        <v>2303240.7400001828</v>
      </c>
      <c r="I3" s="2">
        <f>Table2[[#This Row],[energy_production '[MWh']]]*3.6/19.9</f>
        <v>416666.6665326964</v>
      </c>
      <c r="J3" s="2">
        <v>10.674776188588581</v>
      </c>
      <c r="K3" s="2">
        <v>560.58525239632695</v>
      </c>
    </row>
    <row r="4" spans="1:11" x14ac:dyDescent="0.35">
      <c r="A4" t="s">
        <v>11</v>
      </c>
      <c r="B4" s="1" t="s">
        <v>15</v>
      </c>
      <c r="C4" s="2"/>
      <c r="D4" s="2"/>
      <c r="E4" s="2"/>
      <c r="F4" s="2"/>
      <c r="G4" s="2"/>
      <c r="H4" s="2"/>
      <c r="I4" s="2">
        <f>Table2[[#This Row],[energy_production '[MWh']]]*3.6/19.9</f>
        <v>0</v>
      </c>
      <c r="J4" s="2">
        <v>10.674776188588581</v>
      </c>
      <c r="K4" s="2"/>
    </row>
    <row r="5" spans="1:11" x14ac:dyDescent="0.35">
      <c r="A5" t="s">
        <v>12</v>
      </c>
      <c r="B5" t="s">
        <v>13</v>
      </c>
      <c r="C5" s="2"/>
      <c r="D5" s="2"/>
      <c r="E5" s="2"/>
      <c r="F5" s="2"/>
      <c r="G5" s="2"/>
      <c r="H5" s="2"/>
      <c r="I5" s="2">
        <f>Table2[[#This Row],[energy_production '[MWh']]]*3.6/19.9</f>
        <v>0</v>
      </c>
      <c r="J5" s="2">
        <v>10.674776188588581</v>
      </c>
      <c r="K5" s="2"/>
    </row>
    <row r="6" spans="1:11" x14ac:dyDescent="0.35">
      <c r="A6" t="s">
        <v>12</v>
      </c>
      <c r="B6" s="1" t="s">
        <v>14</v>
      </c>
      <c r="C6" s="2"/>
      <c r="D6" s="2"/>
      <c r="E6" s="2"/>
      <c r="F6" s="2"/>
      <c r="G6" s="2"/>
      <c r="H6" s="2"/>
      <c r="I6" s="2">
        <f>Table2[[#This Row],[energy_production '[MWh']]]*3.6/19.9</f>
        <v>0</v>
      </c>
      <c r="J6" s="2">
        <v>10.674776188588581</v>
      </c>
      <c r="K6" s="2"/>
    </row>
    <row r="7" spans="1:11" x14ac:dyDescent="0.35">
      <c r="A7" t="s">
        <v>12</v>
      </c>
      <c r="B7" s="1" t="s">
        <v>15</v>
      </c>
      <c r="C7" s="2"/>
      <c r="D7" s="2"/>
      <c r="E7" s="2"/>
      <c r="F7" s="2"/>
      <c r="G7" s="2"/>
      <c r="H7" s="2"/>
      <c r="I7" s="2">
        <f>Table2[[#This Row],[energy_production '[MWh']]]*3.6/19.9</f>
        <v>0</v>
      </c>
      <c r="J7" s="2">
        <v>10.6747761885886</v>
      </c>
      <c r="K7" s="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E54A-3435-47A0-958D-D2D4B44DC326}">
  <dimension ref="A1:E31"/>
  <sheetViews>
    <sheetView tabSelected="1" topLeftCell="A19" workbookViewId="0">
      <selection activeCell="C23" sqref="C23"/>
    </sheetView>
  </sheetViews>
  <sheetFormatPr defaultRowHeight="14.5" x14ac:dyDescent="0.35"/>
  <cols>
    <col min="1" max="1" width="35.453125" bestFit="1" customWidth="1"/>
    <col min="2" max="2" width="35.453125" customWidth="1"/>
    <col min="3" max="3" width="17.54296875" customWidth="1"/>
    <col min="4" max="4" width="14.26953125" bestFit="1" customWidth="1"/>
  </cols>
  <sheetData>
    <row r="1" spans="1:5" x14ac:dyDescent="0.35">
      <c r="A1" t="s">
        <v>0</v>
      </c>
      <c r="B1" t="s">
        <v>45</v>
      </c>
      <c r="C1" t="s">
        <v>1</v>
      </c>
      <c r="D1" t="s">
        <v>2</v>
      </c>
    </row>
    <row r="2" spans="1:5" x14ac:dyDescent="0.35">
      <c r="A2" t="s">
        <v>33</v>
      </c>
      <c r="B2" t="s">
        <v>46</v>
      </c>
      <c r="C2" s="2">
        <v>79.071974149980875</v>
      </c>
      <c r="D2" s="2">
        <v>437.09230155128313</v>
      </c>
      <c r="E2" s="2"/>
    </row>
    <row r="3" spans="1:5" x14ac:dyDescent="0.35">
      <c r="A3" t="s">
        <v>16</v>
      </c>
      <c r="B3" t="s">
        <v>47</v>
      </c>
      <c r="C3" s="2">
        <v>81.275350158925747</v>
      </c>
      <c r="D3" s="2">
        <v>449.27207448961724</v>
      </c>
      <c r="E3" s="2"/>
    </row>
    <row r="4" spans="1:5" x14ac:dyDescent="0.35">
      <c r="A4" t="s">
        <v>17</v>
      </c>
      <c r="B4" t="s">
        <v>47</v>
      </c>
      <c r="C4" s="2">
        <v>80.100424630859479</v>
      </c>
      <c r="D4" s="2">
        <v>442.77734726502871</v>
      </c>
      <c r="E4" s="2"/>
    </row>
    <row r="5" spans="1:5" x14ac:dyDescent="0.35">
      <c r="A5" t="s">
        <v>18</v>
      </c>
      <c r="B5" t="s">
        <v>47</v>
      </c>
      <c r="C5" s="2">
        <v>78.168154818585222</v>
      </c>
      <c r="D5" s="2">
        <v>432.09618913606829</v>
      </c>
      <c r="E5" s="2"/>
    </row>
    <row r="6" spans="1:5" x14ac:dyDescent="0.35">
      <c r="A6" t="s">
        <v>19</v>
      </c>
      <c r="B6" t="s">
        <v>47</v>
      </c>
      <c r="C6" s="2">
        <v>77.371086346486052</v>
      </c>
      <c r="D6" s="2">
        <v>427.6901717486312</v>
      </c>
      <c r="E6" s="2"/>
    </row>
    <row r="7" spans="1:5" x14ac:dyDescent="0.35">
      <c r="A7" t="s">
        <v>20</v>
      </c>
      <c r="B7" t="s">
        <v>47</v>
      </c>
      <c r="C7" s="2">
        <v>75.125012558461222</v>
      </c>
      <c r="D7" s="2">
        <v>415.27437500000002</v>
      </c>
    </row>
    <row r="8" spans="1:5" x14ac:dyDescent="0.35">
      <c r="A8" t="s">
        <v>21</v>
      </c>
      <c r="B8" t="s">
        <v>47</v>
      </c>
      <c r="C8" s="2">
        <v>77.085032381363334</v>
      </c>
      <c r="D8" s="2">
        <v>426.10892899698064</v>
      </c>
    </row>
    <row r="9" spans="1:5" x14ac:dyDescent="0.35">
      <c r="A9" t="s">
        <v>22</v>
      </c>
      <c r="B9" t="s">
        <v>47</v>
      </c>
      <c r="C9" s="2">
        <v>81.084828207442314</v>
      </c>
      <c r="D9" s="2">
        <v>448.21891149999999</v>
      </c>
    </row>
    <row r="10" spans="1:5" x14ac:dyDescent="0.35">
      <c r="A10" t="s">
        <v>23</v>
      </c>
      <c r="B10" t="s">
        <v>47</v>
      </c>
      <c r="C10" s="2">
        <v>83.122591440887462</v>
      </c>
      <c r="D10" s="2">
        <v>459.48321379823898</v>
      </c>
    </row>
    <row r="11" spans="1:5" x14ac:dyDescent="0.35">
      <c r="A11" t="s">
        <v>24</v>
      </c>
      <c r="B11" t="s">
        <v>47</v>
      </c>
      <c r="C11" s="2">
        <v>72.161459216370218</v>
      </c>
      <c r="D11" s="2">
        <v>398.89251066826864</v>
      </c>
    </row>
    <row r="12" spans="1:5" x14ac:dyDescent="0.35">
      <c r="A12" t="s">
        <v>25</v>
      </c>
      <c r="B12" t="s">
        <v>47</v>
      </c>
      <c r="C12" s="2">
        <v>75.538100590500932</v>
      </c>
      <c r="D12" s="2">
        <v>417.55783380000003</v>
      </c>
    </row>
    <row r="13" spans="1:5" x14ac:dyDescent="0.35">
      <c r="A13" t="s">
        <v>26</v>
      </c>
      <c r="B13" t="s">
        <v>47</v>
      </c>
      <c r="C13" s="2">
        <v>81.990763985051061</v>
      </c>
      <c r="D13" s="2">
        <v>453.22672313958782</v>
      </c>
    </row>
    <row r="14" spans="1:5" x14ac:dyDescent="0.35">
      <c r="A14" t="s">
        <v>27</v>
      </c>
      <c r="B14" t="s">
        <v>47</v>
      </c>
      <c r="C14" s="2">
        <v>85.493573798602782</v>
      </c>
      <c r="D14" s="2">
        <v>472.58947738672089</v>
      </c>
    </row>
    <row r="15" spans="1:5" x14ac:dyDescent="0.35">
      <c r="A15" t="s">
        <v>37</v>
      </c>
      <c r="B15" t="s">
        <v>47</v>
      </c>
      <c r="C15" s="2">
        <v>78.171590251075841</v>
      </c>
      <c r="D15" s="2">
        <v>432.115179443447</v>
      </c>
    </row>
    <row r="16" spans="1:5" x14ac:dyDescent="0.35">
      <c r="A16" t="s">
        <v>38</v>
      </c>
      <c r="B16" t="s">
        <v>47</v>
      </c>
      <c r="C16" s="2">
        <v>78.49222093533217</v>
      </c>
      <c r="D16" s="2">
        <v>433.88755461475279</v>
      </c>
    </row>
    <row r="17" spans="1:4" x14ac:dyDescent="0.35">
      <c r="A17" t="s">
        <v>39</v>
      </c>
      <c r="B17" t="s">
        <v>47</v>
      </c>
      <c r="C17" s="2">
        <v>79.716791605249099</v>
      </c>
      <c r="D17" s="2">
        <v>440.65670915123803</v>
      </c>
    </row>
    <row r="18" spans="1:4" x14ac:dyDescent="0.35">
      <c r="A18" t="s">
        <v>40</v>
      </c>
      <c r="B18" t="s">
        <v>47</v>
      </c>
      <c r="C18" s="2">
        <v>80.321920181700122</v>
      </c>
      <c r="D18" s="2">
        <v>444.00172544884225</v>
      </c>
    </row>
    <row r="19" spans="1:4" x14ac:dyDescent="0.35">
      <c r="A19" t="s">
        <v>28</v>
      </c>
      <c r="B19" t="s">
        <v>48</v>
      </c>
      <c r="C19" s="2">
        <v>77.37849925829822</v>
      </c>
      <c r="D19" s="2">
        <v>427.73114867781516</v>
      </c>
    </row>
    <row r="20" spans="1:4" x14ac:dyDescent="0.35">
      <c r="A20" t="s">
        <v>34</v>
      </c>
      <c r="B20" t="s">
        <v>48</v>
      </c>
      <c r="C20" s="2">
        <v>78.225236704143668</v>
      </c>
      <c r="D20" s="2">
        <v>432.41172511457188</v>
      </c>
    </row>
    <row r="21" spans="1:4" x14ac:dyDescent="0.35">
      <c r="A21" t="s">
        <v>35</v>
      </c>
      <c r="B21" t="s">
        <v>48</v>
      </c>
      <c r="C21" s="2">
        <v>79.918713695686762</v>
      </c>
      <c r="D21" s="2">
        <v>441.77288959560178</v>
      </c>
    </row>
    <row r="22" spans="1:4" x14ac:dyDescent="0.35">
      <c r="A22" t="s">
        <v>36</v>
      </c>
      <c r="B22" t="s">
        <v>48</v>
      </c>
      <c r="C22" s="2">
        <v>80.765459065707645</v>
      </c>
      <c r="D22" s="2">
        <v>446.45350983543943</v>
      </c>
    </row>
    <row r="23" spans="1:4" x14ac:dyDescent="0.35">
      <c r="A23" t="s">
        <v>29</v>
      </c>
      <c r="B23" t="s">
        <v>48</v>
      </c>
      <c r="C23" s="2"/>
      <c r="D23" s="2"/>
    </row>
    <row r="24" spans="1:4" x14ac:dyDescent="0.35">
      <c r="A24" t="s">
        <v>30</v>
      </c>
      <c r="B24" t="s">
        <v>48</v>
      </c>
      <c r="C24" s="2"/>
      <c r="D24" s="2"/>
    </row>
    <row r="25" spans="1:4" x14ac:dyDescent="0.35">
      <c r="A25" t="s">
        <v>31</v>
      </c>
      <c r="B25" t="s">
        <v>48</v>
      </c>
      <c r="C25" s="2"/>
      <c r="D25" s="2"/>
    </row>
    <row r="26" spans="1:4" x14ac:dyDescent="0.35">
      <c r="A26" t="s">
        <v>32</v>
      </c>
      <c r="B26" t="s">
        <v>48</v>
      </c>
      <c r="C26" s="2"/>
      <c r="D26" s="2"/>
    </row>
    <row r="27" spans="1:4" x14ac:dyDescent="0.35">
      <c r="A27" s="4" t="s">
        <v>41</v>
      </c>
      <c r="B27" s="7" t="s">
        <v>47</v>
      </c>
      <c r="C27" s="2">
        <v>88.81051338424885</v>
      </c>
      <c r="D27" s="2">
        <v>490.92478231848668</v>
      </c>
    </row>
    <row r="28" spans="1:4" x14ac:dyDescent="0.35">
      <c r="A28" s="3" t="s">
        <v>42</v>
      </c>
      <c r="B28" s="7" t="s">
        <v>47</v>
      </c>
      <c r="C28" s="2">
        <v>83.728374892272413</v>
      </c>
      <c r="D28" s="2">
        <v>462.83185009895027</v>
      </c>
    </row>
    <row r="29" spans="1:4" x14ac:dyDescent="0.35">
      <c r="A29" s="4" t="s">
        <v>43</v>
      </c>
      <c r="B29" s="7" t="s">
        <v>47</v>
      </c>
      <c r="C29" s="2">
        <v>74.988598312714814</v>
      </c>
      <c r="D29" s="2">
        <v>414.52030733972907</v>
      </c>
    </row>
    <row r="30" spans="1:4" x14ac:dyDescent="0.35">
      <c r="A30" s="5" t="s">
        <v>44</v>
      </c>
      <c r="B30" s="7" t="s">
        <v>47</v>
      </c>
      <c r="C30" s="6">
        <v>71.43077752774164</v>
      </c>
      <c r="D30" s="6">
        <v>394.85346466723848</v>
      </c>
    </row>
    <row r="31" spans="1:4" x14ac:dyDescent="0.35">
      <c r="A31" s="8" t="s">
        <v>49</v>
      </c>
      <c r="B31" s="9"/>
      <c r="C31" s="6"/>
      <c r="D3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Comparison_szenarios</vt:lpstr>
      <vt:lpstr>Comparison_sensitivities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2024-11-12T09:07:50Z</dcterms:created>
  <dcterms:modified xsi:type="dcterms:W3CDTF">2026-07-18T16:22:34Z</dcterms:modified>
</cp:coreProperties>
</file>