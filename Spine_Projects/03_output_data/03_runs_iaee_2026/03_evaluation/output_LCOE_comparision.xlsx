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7B79609F-6A21-499E-8B90-A13248770674}" xr6:coauthVersionLast="47" xr6:coauthVersionMax="47" xr10:uidLastSave="{00000000-0000-0000-0000-000000000000}"/>
  <bookViews>
    <workbookView xWindow="-110" yWindow="-110" windowWidth="19420" windowHeight="11500" activeTab="2" xr2:uid="{3BB5C906-8FA9-43D8-B9CC-89F65EA8A47E}"/>
  </bookViews>
  <sheets>
    <sheet name="Comparison_scenarios" sheetId="2" r:id="rId1"/>
    <sheet name="Comparison_sensitivities" sheetId="3" r:id="rId2"/>
    <sheet name="comparison_with_transport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E4" i="4"/>
  <c r="E3" i="4"/>
  <c r="E2" i="4"/>
  <c r="D3" i="4"/>
  <c r="C19" i="4"/>
  <c r="C18" i="4"/>
  <c r="C17" i="4"/>
  <c r="C16" i="4"/>
  <c r="C15" i="4"/>
  <c r="C14" i="4"/>
  <c r="C13" i="4"/>
  <c r="C12" i="4"/>
  <c r="D2" i="4" l="1"/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<sst xmlns="http://schemas.openxmlformats.org/spreadsheetml/2006/main" count="146" uniqueCount="69">
  <si>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</si>
  <si>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</si>
  <si>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</si>
  <si>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</si>
  <si>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</si>
  <si>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</si>
  <si>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</si>
  <si>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</si>
  <si>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</si>
  <si>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</si>
  <si>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</si>
  <si>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</si>
  <si>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</si>
  <si>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</si>
  <si>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</si>
  <si>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</si>
  <si>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</si>
  <si>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</si>
  <si>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</si>
  <si>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</si>
  <si>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</si>
  <si>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</si>
  <si>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</si>
  <si>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</si>
  <si>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</si>
  <si>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</si>
  <si>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</si>
  <si>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</si>
  <si>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</si>
  <si>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</si>
  <si>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</si>
  <si>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</si>
  <si>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</si>
  <si>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</si>
  <si>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</si>
  <si>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</si>
  <si>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</si>
  <si>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</si>
  <si>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</si>
  <si>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</si>
  <si>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</si>
  <si>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</si>
  <si>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</si>
  <si>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</si>
  <si>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</si>
  <si>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</si>
  <si>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</si>
  <si>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</si>
  <si>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</si>
  <si>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tariff 10p down</t>
  </si>
  <si>
    <t>methanol escondida tariff 05p down</t>
  </si>
  <si>
    <t>methanol escondida tariff 05p up</t>
  </si>
  <si>
    <t>methanol escondida tariff 10p up</t>
  </si>
  <si>
    <t>methanol escondida water 10p down</t>
  </si>
  <si>
    <t>methanol escondida water 05p down</t>
  </si>
  <si>
    <t>methanol escondida water 05p up</t>
  </si>
  <si>
    <t>methanol escondida water 10p up</t>
  </si>
  <si>
    <t>Cost</t>
  </si>
  <si>
    <t>energy demand from escondida to port</t>
  </si>
  <si>
    <t>MWh/MWh methanol</t>
  </si>
  <si>
    <t>energy demand from inters. to port</t>
  </si>
  <si>
    <t>energy demand from inters. to escondida</t>
  </si>
  <si>
    <t>energy demand from port to escondida</t>
  </si>
  <si>
    <t>MWh/MWh ammonia</t>
  </si>
  <si>
    <t>value</t>
  </si>
  <si>
    <t>unit</t>
  </si>
  <si>
    <t>description</t>
  </si>
  <si>
    <t>At Minera Escondida/Local Demand</t>
  </si>
  <si>
    <t>At Puerto Coloso/Export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</si>
</sst>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  <xf numFmtId="0" fontId="0" fillId="2" borderId="3" xfId="0" applyFont="1" applyFill="1" applyBorder="1"/>
    <xf numFmtId="0" fontId="0" fillId="0" borderId="3" xfId="0" applyFont="1" applyBorder="1"/>
    <xf numFmtId="4" fontId="0" fillId="2" borderId="3" xfId="0" applyNumberFormat="1" applyFont="1" applyFill="1" applyBorder="1"/>
    <xf numFmtId="49" fontId="0" fillId="0" borderId="3" xfId="0" applyNumberFormat="1" applyFont="1" applyBorder="1"/>
    <xf numFmtId="4" fontId="0" fillId="0" borderId="3" xfId="0" applyNumberFormat="1" applyFont="1" applyBorder="1"/>
    <xf numFmtId="49" fontId="0" fillId="2" borderId="3" xfId="0" applyNumberFormat="1" applyFont="1" applyFill="1" applyBorder="1"/>
    <xf numFmtId="0" fontId="1" fillId="3" borderId="4" xfId="0" applyFont="1" applyFill="1" applyBorder="1"/>
    <xf numFmtId="0" fontId="0" fillId="0" borderId="5" xfId="0" applyFont="1" applyBorder="1"/>
    <xf numFmtId="49" fontId="0" fillId="0" borderId="5" xfId="0" applyNumberFormat="1" applyFont="1" applyBorder="1"/>
    <xf numFmtId="4" fontId="0" fillId="0" borderId="5" xfId="0" applyNumberFormat="1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22"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4" formatCode="#,##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4" formatCode="#,##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01_input_data/04_iaee_2026/02_input_data_raw/Chile_Mining_PtX_Assumptions_clean.xlsx" TargetMode="External"/><Relationship Id="rId2" Type="http://schemas.openxmlformats.org/officeDocument/2006/relationships/externalLinkPath" Target="file:///C:\Users\jfg.eco\Documents\GitHub\Nord_H2ub\Spine_Projects\01_input_data\04_iaee_2026\02_input_data_raw\Chile_Mining_PtX_Assumptions_clean.xlsx" TargetMode="External"/><Relationship Id="rId1" Type="http://schemas.openxmlformats.org/officeDocument/2006/relationships/externalLinkPath" Target="/Users/jfg.eco/Documents/GitHub/Nord_H2ub/Spine_Projects/01_input_data/04_iaee_2026/02_input_data_raw/Chile_Mining_PtX_Assumptions_cle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 Parameters"/>
      <sheetName val="Parameters"/>
      <sheetName val="Demand Calculations"/>
      <sheetName val="Transportation Calculations"/>
      <sheetName val="CO2 Calculations"/>
      <sheetName val="Scenarios &amp; Assumptions"/>
      <sheetName val="Sources"/>
    </sheetNames>
    <sheetDataSet>
      <sheetData sheetId="0"/>
      <sheetData sheetId="1"/>
      <sheetData sheetId="2"/>
      <sheetData sheetId="3">
        <row r="10">
          <cell r="B10">
            <v>1.7085427135678392E-2</v>
          </cell>
        </row>
        <row r="11">
          <cell r="B11">
            <v>1.0552763819095477E-2</v>
          </cell>
        </row>
        <row r="12">
          <cell r="B12">
            <v>1.6331658291457288E-2</v>
          </cell>
        </row>
        <row r="13">
          <cell r="B13">
            <v>4.2713567839195984E-2</v>
          </cell>
        </row>
        <row r="18">
          <cell r="B18">
            <v>5.288888888888889E-3</v>
          </cell>
        </row>
        <row r="19">
          <cell r="B19">
            <v>3.2666666666666664E-3</v>
          </cell>
        </row>
        <row r="20">
          <cell r="B20">
            <v>2.0222222222222221E-3</v>
          </cell>
        </row>
        <row r="21">
          <cell r="B21">
            <v>5.288888888888889E-3</v>
          </cell>
        </row>
      </sheetData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9"/>
    <tableColumn id="2" xr3:uid="{57DD338E-2930-40CB-AC06-11C7900CEBAE}" name="LCOE [Euro/MWh]" dataDxfId="18"/>
    <tableColumn id="3" xr3:uid="{348EEC01-2159-40EC-A41A-F770A2113C35}" name="LCOE [Euro/t]" dataDxfId="17"/>
    <tableColumn id="4" xr3:uid="{E1A32900-AFFC-4CA8-9A80-FDDFC927842B}" name="total_investment" dataDxfId="16"/>
    <tableColumn id="5" xr3:uid="{9BDBD209-C39F-484C-957B-614102BD4B2E}" name="annual_costs" dataDxfId="15"/>
    <tableColumn id="12" xr3:uid="{2F1A07E8-34B3-485A-A334-6B4F6D50721B}" name="annual_rev" dataDxfId="14"/>
    <tableColumn id="6" xr3:uid="{B1C9F88F-C828-404D-9F5C-8363B244D4A6}" name="energy_production [MWh]" dataDxfId="13"/>
    <tableColumn id="7" xr3:uid="{DFDA2CA3-CD6F-466B-81A4-84B9B62CB2C6}" name="energy_production [t]" dataDxfId="12">
      <calculatedColumnFormula>Table2[[#This Row],[energy_production '[MWh']]]*3.6/19.9</calculatedColumnFormula>
    </tableColumn>
    <tableColumn id="8" xr3:uid="{C340BB5F-846A-40DD-949F-DC14F9BEBD65}" name="pcf_value" dataDxfId="11"/>
    <tableColumn id="11" xr3:uid="{3E078780-172C-4BE9-A08D-3FB4DFE536AE}" name="Size electrolyser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8" totalsRowShown="0">
  <autoFilter ref="A1:D38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21"/>
    <tableColumn id="3" xr3:uid="{7F3B94FF-49AD-4295-99F8-AE1E37B8E7F6}" name="LCOE [Euro/t]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022C4-2B02-4C7D-8C4E-E401A9CEA570}" name="Table1" displayName="Table1" ref="A1:E7" totalsRowShown="0" headerRowDxfId="3" headerRowBorderDxfId="8" tableBorderDxfId="9" totalsRowBorderDxfId="7">
  <autoFilter ref="A1:E7" xr:uid="{82E022C4-2B02-4C7D-8C4E-E401A9CEA570}"/>
  <tableColumns count="5">
    <tableColumn id="1" xr3:uid="{97253C94-9CD0-4EA9-9E0B-D2E8D1680665}" name="run_name" dataDxfId="6"/>
    <tableColumn id="2" xr3:uid="{CDCCA758-A226-4144-A328-ACC22C8B55F3}" name="scenario"/>
    <tableColumn id="3" xr3:uid="{AC1DE2CF-0DE6-4BB6-BF41-C459983F7708}" name="LCOE [Euro/MWh]" dataDxfId="5"/>
    <tableColumn id="4" xr3:uid="{FE4D13C1-1034-49E7-9851-9BFFFDE27F2F}" name="At Minera Escondida/Local Demand" dataDxfId="4"/>
    <tableColumn id="5" xr3:uid="{BCAB51B5-B2ED-4584-BE63-034E409FD08D}" name="At Puerto Coloso/Export" dataDxfId="0">
      <calculatedColumnFormula>Table1[[#This Row],[LCOE '[Euro/MWh']]]+Table1[[#This Row],[LCOE '[Euro/MWh']]]*C12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50A733-F3E7-4ECD-852B-68D82F47910A}" name="Table4" displayName="Table4" ref="A11:D19" totalsRowShown="0">
  <autoFilter ref="A11:D19" xr:uid="{7F50A733-F3E7-4ECD-852B-68D82F47910A}"/>
  <tableColumns count="4">
    <tableColumn id="1" xr3:uid="{AC055891-DBA2-45E9-AC8F-C4BA36A89FCD}" name="type"/>
    <tableColumn id="2" xr3:uid="{1515481E-390E-40CF-BC98-1E1FECD3948F}" name="description" dataDxfId="2"/>
    <tableColumn id="3" xr3:uid="{BC224235-A4F9-4FBE-B480-BF5C8A50D220}" name="value">
      <calculatedColumnFormula>'[1]Transportation Calculations'!B14</calculatedColumnFormula>
    </tableColumn>
    <tableColumn id="4" xr3:uid="{E74EFA92-568A-4D1A-97C2-4879A00C50A1}" name="unit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sqref="A1:D7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>
        <v>81.015948843836668</v>
      </c>
      <c r="D4" s="2">
        <v>447.83816166454153</v>
      </c>
      <c r="E4" s="2">
        <v>1789730808.6813896</v>
      </c>
      <c r="F4" s="2">
        <v>149991159.26998231</v>
      </c>
      <c r="G4" s="2">
        <v>-131051722.29205114</v>
      </c>
      <c r="H4" s="2">
        <v>2303240.7400001828</v>
      </c>
      <c r="I4" s="2">
        <f>Table2[[#This Row],[energy_production '[MWh']]]*3.6/19.9</f>
        <v>416666.6665326964</v>
      </c>
      <c r="J4" s="2">
        <v>10.674776188588581</v>
      </c>
      <c r="K4" s="2">
        <v>560.58525239633184</v>
      </c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8"/>
  <sheetViews>
    <sheetView topLeftCell="A19" workbookViewId="0">
      <selection activeCell="D35" sqref="D35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t="s">
        <v>47</v>
      </c>
      <c r="C30" s="2">
        <v>71.43077752774164</v>
      </c>
      <c r="D30" s="2">
        <v>394.85346466723848</v>
      </c>
    </row>
    <row r="31" spans="1:4" x14ac:dyDescent="0.35">
      <c r="A31" s="6" t="s">
        <v>49</v>
      </c>
      <c r="B31" t="s">
        <v>48</v>
      </c>
      <c r="C31" s="2">
        <v>78.059428826878019</v>
      </c>
      <c r="D31" s="2">
        <v>431.49517601524235</v>
      </c>
    </row>
    <row r="32" spans="1:4" x14ac:dyDescent="0.35">
      <c r="A32" s="6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6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6" t="s">
        <v>52</v>
      </c>
      <c r="B34" t="s">
        <v>48</v>
      </c>
      <c r="C34" s="2">
        <v>80.08451947308447</v>
      </c>
      <c r="D34" s="2">
        <v>442.68942708732794</v>
      </c>
    </row>
    <row r="35" spans="1:4" x14ac:dyDescent="0.35">
      <c r="A35" s="6" t="s">
        <v>53</v>
      </c>
      <c r="B35" t="s">
        <v>48</v>
      </c>
      <c r="C35" s="2">
        <v>78.909203083368965</v>
      </c>
      <c r="D35" s="2">
        <v>436.19253926640062</v>
      </c>
    </row>
    <row r="36" spans="1:4" x14ac:dyDescent="0.35">
      <c r="A36" s="6" t="s">
        <v>54</v>
      </c>
      <c r="B36" t="s">
        <v>48</v>
      </c>
      <c r="C36" s="2">
        <v>78.990588616660261</v>
      </c>
      <c r="D36" s="2">
        <v>436.64242040876081</v>
      </c>
    </row>
    <row r="37" spans="1:4" x14ac:dyDescent="0.35">
      <c r="A37" s="6" t="s">
        <v>55</v>
      </c>
      <c r="B37" t="s">
        <v>48</v>
      </c>
      <c r="C37" s="2">
        <v>79.153359683306576</v>
      </c>
      <c r="D37" s="2">
        <v>437.54218269383352</v>
      </c>
    </row>
    <row r="38" spans="1:4" x14ac:dyDescent="0.35">
      <c r="A38" s="6" t="s">
        <v>56</v>
      </c>
      <c r="B38" t="s">
        <v>48</v>
      </c>
      <c r="C38" s="2">
        <v>79.23474521659314</v>
      </c>
      <c r="D38" s="2">
        <v>437.99206383616757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0ECB-212C-4552-808B-85A59943E8A9}">
  <dimension ref="A1:E19"/>
  <sheetViews>
    <sheetView tabSelected="1" workbookViewId="0">
      <selection activeCell="F14" sqref="F14"/>
    </sheetView>
  </sheetViews>
  <sheetFormatPr defaultRowHeight="14.5" x14ac:dyDescent="0.35"/>
  <cols>
    <col min="1" max="1" width="11.1796875" customWidth="1"/>
    <col min="2" max="2" width="19.81640625" customWidth="1"/>
    <col min="3" max="3" width="17.54296875" customWidth="1"/>
    <col min="4" max="4" width="33.08984375" bestFit="1" customWidth="1"/>
    <col min="5" max="5" width="22.90625" bestFit="1" customWidth="1"/>
  </cols>
  <sheetData>
    <row r="1" spans="1:5" x14ac:dyDescent="0.35">
      <c r="A1" s="13" t="s">
        <v>0</v>
      </c>
      <c r="B1" s="13" t="s">
        <v>10</v>
      </c>
      <c r="C1" s="13" t="s">
        <v>1</v>
      </c>
      <c r="D1" s="13" t="s">
        <v>67</v>
      </c>
      <c r="E1" s="13" t="s">
        <v>68</v>
      </c>
    </row>
    <row r="2" spans="1:5" x14ac:dyDescent="0.35">
      <c r="A2" s="7" t="s">
        <v>11</v>
      </c>
      <c r="B2" s="7" t="s">
        <v>13</v>
      </c>
      <c r="C2" s="9">
        <v>79.071974149980875</v>
      </c>
      <c r="D2" s="9">
        <f>Table1[[#This Row],[LCOE '[Euro/MWh']]]</f>
        <v>79.071974149980875</v>
      </c>
      <c r="E2">
        <f>Table1[[#This Row],[LCOE '[Euro/MWh']]]+Table1[[#This Row],[LCOE '[Euro/MWh']]]*C12</f>
        <v>80.422952602794624</v>
      </c>
    </row>
    <row r="3" spans="1:5" x14ac:dyDescent="0.35">
      <c r="A3" s="8" t="s">
        <v>11</v>
      </c>
      <c r="B3" s="10" t="s">
        <v>14</v>
      </c>
      <c r="C3" s="11">
        <v>78.310114411629584</v>
      </c>
      <c r="D3" s="11">
        <f>Table1[[#This Row],[LCOE '[Euro/MWh']]]+Table1[[#This Row],[LCOE '[Euro/MWh']]]*C14</f>
        <v>79.589048440965243</v>
      </c>
      <c r="E3">
        <f>Table1[[#This Row],[LCOE '[Euro/MWh']]]+Table1[[#This Row],[LCOE '[Euro/MWh']]]*C13</f>
        <v>79.136502553661856</v>
      </c>
    </row>
    <row r="4" spans="1:5" x14ac:dyDescent="0.35">
      <c r="A4" s="7" t="s">
        <v>11</v>
      </c>
      <c r="B4" s="12" t="s">
        <v>15</v>
      </c>
      <c r="C4" s="9">
        <v>81.015948843836668</v>
      </c>
      <c r="D4" s="9">
        <f>Table1[[#This Row],[LCOE '[Euro/MWh']]]+C15*Table1[[#This Row],[LCOE '[Euro/MWh']]]</f>
        <v>84.476429070834712</v>
      </c>
      <c r="E4" s="2">
        <f>Table1[[#This Row],[LCOE '[Euro/MWh']]]</f>
        <v>81.015948843836668</v>
      </c>
    </row>
    <row r="5" spans="1:5" x14ac:dyDescent="0.35">
      <c r="A5" s="8" t="s">
        <v>12</v>
      </c>
      <c r="B5" s="8" t="s">
        <v>13</v>
      </c>
      <c r="C5" s="11"/>
      <c r="D5" s="11"/>
    </row>
    <row r="6" spans="1:5" x14ac:dyDescent="0.35">
      <c r="A6" s="7" t="s">
        <v>12</v>
      </c>
      <c r="B6" s="12" t="s">
        <v>14</v>
      </c>
      <c r="C6" s="9"/>
      <c r="D6" s="9"/>
    </row>
    <row r="7" spans="1:5" x14ac:dyDescent="0.35">
      <c r="A7" s="14" t="s">
        <v>12</v>
      </c>
      <c r="B7" s="15" t="s">
        <v>15</v>
      </c>
      <c r="C7" s="16"/>
      <c r="D7" s="16"/>
    </row>
    <row r="11" spans="1:5" x14ac:dyDescent="0.35">
      <c r="A11" t="s">
        <v>45</v>
      </c>
      <c r="B11" s="17" t="s">
        <v>66</v>
      </c>
      <c r="C11" t="s">
        <v>64</v>
      </c>
      <c r="D11" s="17" t="s">
        <v>65</v>
      </c>
    </row>
    <row r="12" spans="1:5" ht="29" x14ac:dyDescent="0.35">
      <c r="A12" t="s">
        <v>57</v>
      </c>
      <c r="B12" s="17" t="s">
        <v>58</v>
      </c>
      <c r="C12">
        <f>'[1]Transportation Calculations'!B10</f>
        <v>1.7085427135678392E-2</v>
      </c>
      <c r="D12" s="17" t="s">
        <v>59</v>
      </c>
    </row>
    <row r="13" spans="1:5" ht="29" x14ac:dyDescent="0.35">
      <c r="A13" t="s">
        <v>57</v>
      </c>
      <c r="B13" s="17" t="s">
        <v>60</v>
      </c>
      <c r="C13">
        <f>'[1]Transportation Calculations'!B11</f>
        <v>1.0552763819095477E-2</v>
      </c>
      <c r="D13" s="17" t="s">
        <v>59</v>
      </c>
    </row>
    <row r="14" spans="1:5" ht="29" x14ac:dyDescent="0.35">
      <c r="A14" t="s">
        <v>57</v>
      </c>
      <c r="B14" s="17" t="s">
        <v>61</v>
      </c>
      <c r="C14">
        <f>'[1]Transportation Calculations'!B12</f>
        <v>1.6331658291457288E-2</v>
      </c>
      <c r="D14" s="17" t="s">
        <v>59</v>
      </c>
    </row>
    <row r="15" spans="1:5" ht="29" x14ac:dyDescent="0.35">
      <c r="A15" t="s">
        <v>57</v>
      </c>
      <c r="B15" s="17" t="s">
        <v>62</v>
      </c>
      <c r="C15">
        <f>'[1]Transportation Calculations'!B13</f>
        <v>4.2713567839195984E-2</v>
      </c>
      <c r="D15" s="17" t="s">
        <v>59</v>
      </c>
    </row>
    <row r="16" spans="1:5" ht="29" x14ac:dyDescent="0.35">
      <c r="A16" t="s">
        <v>57</v>
      </c>
      <c r="B16" s="17" t="s">
        <v>58</v>
      </c>
      <c r="C16">
        <f>'[1]Transportation Calculations'!B18</f>
        <v>5.288888888888889E-3</v>
      </c>
      <c r="D16" s="17" t="s">
        <v>63</v>
      </c>
    </row>
    <row r="17" spans="1:4" ht="29" x14ac:dyDescent="0.35">
      <c r="A17" t="s">
        <v>57</v>
      </c>
      <c r="B17" s="17" t="s">
        <v>60</v>
      </c>
      <c r="C17">
        <f>'[1]Transportation Calculations'!B19</f>
        <v>3.2666666666666664E-3</v>
      </c>
      <c r="D17" s="17" t="s">
        <v>63</v>
      </c>
    </row>
    <row r="18" spans="1:4" ht="29" x14ac:dyDescent="0.35">
      <c r="A18" t="s">
        <v>57</v>
      </c>
      <c r="B18" s="17" t="s">
        <v>61</v>
      </c>
      <c r="C18">
        <f>'[1]Transportation Calculations'!B20</f>
        <v>2.0222222222222221E-3</v>
      </c>
      <c r="D18" s="17" t="s">
        <v>63</v>
      </c>
    </row>
    <row r="19" spans="1:4" ht="29" x14ac:dyDescent="0.35">
      <c r="A19" t="s">
        <v>57</v>
      </c>
      <c r="B19" s="17" t="s">
        <v>62</v>
      </c>
      <c r="C19">
        <f>'[1]Transportation Calculations'!B21</f>
        <v>5.288888888888889E-3</v>
      </c>
      <c r="D19" s="17" t="s">
        <v>63</v>
      </c>
    </row>
  </sheetData>
  <pageMargins left="0.7" right="0.7" top="0.75" bottom="0.75" header="0.3" footer="0.3"/>
  <ignoredErrors>
    <ignoredError sqref="E4" calculatedColumn="1"/>
  </ignoredErrors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Comparison_scenarios</vt:lpstr>
      <vt:lpstr>Comparison_sensitivities</vt:lpstr>
      <vt:lpstr>comparison_with_transport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2026-07-19T19:39:47Z</dcterms:modified>
</cp:coreProperties>
</file>