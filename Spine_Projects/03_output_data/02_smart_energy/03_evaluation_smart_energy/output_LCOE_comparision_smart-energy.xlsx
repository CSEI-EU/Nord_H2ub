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3_output_data\02_smart_energy\03_evaluation_smart_energy\"/>
    </mc:Choice>
  </mc:AlternateContent>
  <xr:revisionPtr revIDLastSave="0" documentId="8_{3A86C7AC-8A90-41D7-BFBF-2025613FC433}" xr6:coauthVersionLast="47" xr6:coauthVersionMax="47" xr10:uidLastSave="{00000000-0000-0000-0000-000000000000}"/>
  <bookViews>
    <workbookView xWindow="-110" yWindow="-110" windowWidth="19420" windowHeight="11500" xr2:uid="{3BB5C906-8FA9-43D8-B9CC-89F65EA8A47E}"/>
  </bookViews>
  <sheets>
    <sheet name="Comparison_scenarios" sheetId="2" r:id="rId1"/>
    <sheet name="Comparison_sensitiv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9" i="2"/>
  <c r="I18" i="2"/>
  <c r="I17" i="2"/>
  <c r="D2" i="3" l="1"/>
  <c r="C2" i="3"/>
  <c r="I2" i="2" l="1"/>
  <c r="I3" i="2"/>
  <c r="I4" i="2"/>
  <c r="I5" i="2"/>
  <c r="I6" i="2"/>
  <c r="I12" i="2"/>
  <c r="I11" i="2"/>
  <c r="I10" i="2"/>
  <c r="I9" i="2"/>
  <c r="I8" i="2"/>
  <c r="I7" i="2"/>
  <c r="I15" i="2" l="1"/>
  <c r="I14" i="2"/>
  <c r="I13" i="2"/>
</calcChain>
</file>

<file path=xl/sharedStrings.xml><?xml version="1.0" encoding="utf-8"?>
<sst xmlns="http://schemas.openxmlformats.org/spreadsheetml/2006/main" count="148" uniqueCount="74">
  <si>
    <t>run_name</t>
  </si>
  <si>
    <t>LCOE [Euro/MWh]</t>
  </si>
  <si>
    <t>LCOE [Euro/t]</t>
  </si>
  <si>
    <t>total_investment</t>
  </si>
  <si>
    <t>annual_costs</t>
  </si>
  <si>
    <t>energy_production [MWh]</t>
  </si>
  <si>
    <t>energy_production [t]</t>
  </si>
  <si>
    <t>pcf_value</t>
  </si>
  <si>
    <t>annual_rev</t>
  </si>
  <si>
    <t>scenario</t>
  </si>
  <si>
    <t>type</t>
  </si>
  <si>
    <t>base</t>
  </si>
  <si>
    <t>fix cost</t>
  </si>
  <si>
    <t>variable cost</t>
  </si>
  <si>
    <t>status quo</t>
  </si>
  <si>
    <t>2035</t>
  </si>
  <si>
    <t>2045</t>
  </si>
  <si>
    <t xml:space="preserve">Base Case </t>
  </si>
  <si>
    <t>Wind Inv</t>
  </si>
  <si>
    <t>RES</t>
  </si>
  <si>
    <t>Local RES + Wind Inv</t>
  </si>
  <si>
    <t>Desalination</t>
  </si>
  <si>
    <t>Wind Capacity [MW]</t>
  </si>
  <si>
    <t>Size electrolyser [MW]</t>
  </si>
  <si>
    <t>2045 base</t>
  </si>
  <si>
    <t>2045 base lifetime 10p down</t>
  </si>
  <si>
    <t>2045 base lifetime 5p down</t>
  </si>
  <si>
    <t>2045 base lifetime 5p up</t>
  </si>
  <si>
    <t>2045 base lifetime 10p up</t>
  </si>
  <si>
    <t>2045 base WACC 10p down</t>
  </si>
  <si>
    <t>2045 base WACC 5p down</t>
  </si>
  <si>
    <t>2045 base WACC 5p up</t>
  </si>
  <si>
    <t>2045 base WACC 10p up</t>
  </si>
  <si>
    <t>2045 base inv 10p down</t>
  </si>
  <si>
    <t>2045 base inv 5p down</t>
  </si>
  <si>
    <t>2045 base inv 5p up</t>
  </si>
  <si>
    <t>2045 base inv 10p up</t>
  </si>
  <si>
    <t>2045 base demand 10p down</t>
  </si>
  <si>
    <t>2045 base demand 05 down</t>
  </si>
  <si>
    <t>2045 base demand 05p up</t>
  </si>
  <si>
    <t>2045 base demand 10p up</t>
  </si>
  <si>
    <t>2045 base CO2 10p down</t>
  </si>
  <si>
    <t>2045 base CO2 05p down</t>
  </si>
  <si>
    <t>2045 base CO2 05p up</t>
  </si>
  <si>
    <t>2045 base CO2 10p up</t>
  </si>
  <si>
    <t>2045 base power price 10p down</t>
  </si>
  <si>
    <t>2045 base power price 05p down</t>
  </si>
  <si>
    <t>2045 base power price 05p up</t>
  </si>
  <si>
    <t>2045 base power price 10p up</t>
  </si>
  <si>
    <t>2045 base eff 10p down</t>
  </si>
  <si>
    <t>2045 base eff 05p down</t>
  </si>
  <si>
    <t>2045 base eff 05p up</t>
  </si>
  <si>
    <t>2045 base eff 10p up</t>
  </si>
  <si>
    <t>2045 base tariff 10p down</t>
  </si>
  <si>
    <t>2045 base tariff 05p down</t>
  </si>
  <si>
    <t>2045 base tariff 05p up</t>
  </si>
  <si>
    <t>2045 base tariff 10p up</t>
  </si>
  <si>
    <t>2045 base water 10p down</t>
  </si>
  <si>
    <t>2045 base water 05p down</t>
  </si>
  <si>
    <t>2045 base water 05p up</t>
  </si>
  <si>
    <t>2045 base water 10p up</t>
  </si>
  <si>
    <t>2045 base 02 price 10p down</t>
  </si>
  <si>
    <t>2045 base 02 price 05p down</t>
  </si>
  <si>
    <t>2045 base 02 price 05p up</t>
  </si>
  <si>
    <t>2045 base 02 price 10p up</t>
  </si>
  <si>
    <t>2045 base 02 volume 10p down</t>
  </si>
  <si>
    <t>2045 base 02 volume 05p down</t>
  </si>
  <si>
    <t>2045 base 02 volume 05p up</t>
  </si>
  <si>
    <t>2045 base 02 volume 10p up</t>
  </si>
  <si>
    <t>2018 RES</t>
  </si>
  <si>
    <t>2045 base PPA price 10p down</t>
  </si>
  <si>
    <t>2045 base PPA price 05p down</t>
  </si>
  <si>
    <t>2045 base PPA price 05p up</t>
  </si>
  <si>
    <t>2045 base PPA price 10p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</si>
</sst>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13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0CD82-EF7A-4E40-8E75-04BE9F55963D}" name="Table2" displayName="Table2" ref="A1:L19" totalsRowShown="0">
  <autoFilter ref="A1:L19" xr:uid="{3A20CD82-EF7A-4E40-8E75-04BE9F55963D}"/>
  <sortState xmlns:xlrd2="http://schemas.microsoft.com/office/spreadsheetml/2017/richdata2" ref="A2:K6">
    <sortCondition ref="A1:A6"/>
  </sortState>
  <tableColumns count="12">
    <tableColumn id="1" xr3:uid="{6128FCF1-7EAF-4DB9-AB65-A4970FF7A7B8}" name="run_name"/>
    <tableColumn id="9" xr3:uid="{E1E483D4-117D-4835-9726-D5751F56EFA1}" name="scenario" dataDxfId="10"/>
    <tableColumn id="2" xr3:uid="{57DD338E-2930-40CB-AC06-11C7900CEBAE}" name="LCOE [Euro/MWh]" dataDxfId="9"/>
    <tableColumn id="3" xr3:uid="{348EEC01-2159-40EC-A41A-F770A2113C35}" name="LCOE [Euro/t]" dataDxfId="8"/>
    <tableColumn id="4" xr3:uid="{E1A32900-AFFC-4CA8-9A80-FDDFC927842B}" name="total_investment" dataDxfId="7"/>
    <tableColumn id="5" xr3:uid="{9BDBD209-C39F-484C-957B-614102BD4B2E}" name="annual_costs" dataDxfId="6"/>
    <tableColumn id="12" xr3:uid="{2F1A07E8-34B3-485A-A334-6B4F6D50721B}" name="annual_rev" dataDxfId="5"/>
    <tableColumn id="6" xr3:uid="{B1C9F88F-C828-404D-9F5C-8363B244D4A6}" name="energy_production [MWh]" dataDxfId="4"/>
    <tableColumn id="7" xr3:uid="{DFDA2CA3-CD6F-466B-81A4-84B9B62CB2C6}" name="energy_production [t]" dataDxfId="3">
      <calculatedColumnFormula>Table2[[#This Row],[energy_production '[MWh']]]*3.6/19.9</calculatedColumnFormula>
    </tableColumn>
    <tableColumn id="8" xr3:uid="{C340BB5F-846A-40DD-949F-DC14F9BEBD65}" name="pcf_value" dataDxfId="2"/>
    <tableColumn id="11" xr3:uid="{3E078780-172C-4BE9-A08D-3FB4DFE536AE}" name="Wind Capacity [MW]" dataDxfId="1"/>
    <tableColumn id="10" xr3:uid="{C5EF052A-9C95-4AB3-9DF1-51A82396DE4F}" name="Size electrolyser [MW]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8C3B7-1CFE-4D76-BF2B-418405C32F6D}" name="Table3" displayName="Table3" ref="A1:D50" totalsRowShown="0">
  <autoFilter ref="A1:D50" xr:uid="{1ED8C3B7-1CFE-4D76-BF2B-418405C32F6D}"/>
  <tableColumns count="4">
    <tableColumn id="1" xr3:uid="{8869914E-4BE8-401C-AC76-C6570071019E}" name="run_name"/>
    <tableColumn id="4" xr3:uid="{96123E5C-038E-4A38-8295-89FC853EE7AF}" name="type"/>
    <tableColumn id="2" xr3:uid="{EDC23835-EE0F-4ABC-9DD3-CB899B7BD1E4}" name="LCOE [Euro/MWh]" dataDxfId="12"/>
    <tableColumn id="3" xr3:uid="{7F3B94FF-49AD-4295-99F8-AE1E37B8E7F6}" name="LCOE [Euro/t]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D5D-FFCC-4E02-B3EF-17A6B47B78F2}">
  <dimension ref="A1:L19"/>
  <sheetViews>
    <sheetView tabSelected="1" workbookViewId="0">
      <selection activeCell="A2" sqref="A2"/>
    </sheetView>
  </sheetViews>
  <sheetFormatPr defaultRowHeight="14.5" x14ac:dyDescent="0.35"/>
  <cols>
    <col min="1" max="1" width="11.1796875" customWidth="1"/>
    <col min="2" max="2" width="23.54296875" bestFit="1" customWidth="1"/>
    <col min="3" max="3" width="17.54296875" customWidth="1"/>
    <col min="4" max="4" width="14" customWidth="1"/>
    <col min="5" max="5" width="16.90625" customWidth="1"/>
    <col min="6" max="7" width="13.90625" customWidth="1"/>
    <col min="8" max="8" width="24.1796875" customWidth="1"/>
    <col min="9" max="9" width="20.6328125" customWidth="1"/>
    <col min="10" max="10" width="10.90625" customWidth="1"/>
  </cols>
  <sheetData>
    <row r="1" spans="1:12" x14ac:dyDescent="0.3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6</v>
      </c>
      <c r="J1" t="s">
        <v>7</v>
      </c>
      <c r="K1" t="s">
        <v>22</v>
      </c>
      <c r="L1" t="s">
        <v>23</v>
      </c>
    </row>
    <row r="2" spans="1:12" x14ac:dyDescent="0.35">
      <c r="A2" t="s">
        <v>14</v>
      </c>
      <c r="B2" t="s">
        <v>17</v>
      </c>
      <c r="C2" s="2">
        <v>187.74866517841966</v>
      </c>
      <c r="D2" s="2">
        <v>1037.8328991807086</v>
      </c>
      <c r="E2" s="2">
        <v>375520932.0095638</v>
      </c>
      <c r="F2" s="2">
        <v>36862994.203137942</v>
      </c>
      <c r="G2" s="2">
        <v>-17710627.892915968</v>
      </c>
      <c r="H2" s="2">
        <v>289380.0000000216</v>
      </c>
      <c r="I2" s="2">
        <f>Table2[[#This Row],[energy_production '[MWh']]]*3.6/19.9</f>
        <v>52350.150753772759</v>
      </c>
      <c r="J2" s="2">
        <v>10.674776188588581</v>
      </c>
      <c r="K2" s="2">
        <v>3800</v>
      </c>
      <c r="L2" s="2">
        <v>86.252473770347947</v>
      </c>
    </row>
    <row r="3" spans="1:12" x14ac:dyDescent="0.35">
      <c r="A3" t="s">
        <v>14</v>
      </c>
      <c r="B3" s="1" t="s">
        <v>18</v>
      </c>
      <c r="C3" s="2">
        <v>183.37877420965631</v>
      </c>
      <c r="D3" s="2">
        <v>1013.6771129922668</v>
      </c>
      <c r="E3" s="2">
        <v>363129673.97146231</v>
      </c>
      <c r="F3" s="2">
        <v>36796491.634458922</v>
      </c>
      <c r="G3" s="2">
        <v>-17747886.44885055</v>
      </c>
      <c r="H3" s="2">
        <v>289380.0000000216</v>
      </c>
      <c r="I3" s="2">
        <f>Table2[[#This Row],[energy_production '[MWh']]]*3.6/19.9</f>
        <v>52350.150753772759</v>
      </c>
      <c r="J3" s="2">
        <v>10.674776188588581</v>
      </c>
      <c r="K3" s="2">
        <v>3800</v>
      </c>
      <c r="L3" s="2">
        <v>83.427407345976391</v>
      </c>
    </row>
    <row r="4" spans="1:12" x14ac:dyDescent="0.35">
      <c r="A4" t="s">
        <v>14</v>
      </c>
      <c r="B4" s="1" t="s">
        <v>19</v>
      </c>
      <c r="C4" s="2">
        <v>259.10591279852775</v>
      </c>
      <c r="D4" s="2">
        <v>1432.2799068585284</v>
      </c>
      <c r="E4" s="2">
        <v>489189530.57225019</v>
      </c>
      <c r="F4" s="2">
        <v>46653542.250363789</v>
      </c>
      <c r="G4" s="2">
        <v>-17500151.153734181</v>
      </c>
      <c r="H4" s="2">
        <v>289380.0000000216</v>
      </c>
      <c r="I4" s="2">
        <f>Table2[[#This Row],[energy_production '[MWh']]]*3.6/19.9</f>
        <v>52350.150753772759</v>
      </c>
      <c r="J4" s="2">
        <v>10.674776188588581</v>
      </c>
      <c r="K4" s="2">
        <v>3800</v>
      </c>
      <c r="L4" s="2">
        <v>112.36390311171901</v>
      </c>
    </row>
    <row r="5" spans="1:12" x14ac:dyDescent="0.35">
      <c r="A5" t="s">
        <v>14</v>
      </c>
      <c r="B5" t="s">
        <v>20</v>
      </c>
      <c r="C5" s="2">
        <v>258.20999546327499</v>
      </c>
      <c r="D5" s="2">
        <v>1427.3274749219922</v>
      </c>
      <c r="E5" s="2">
        <v>487114425.79826021</v>
      </c>
      <c r="F5" s="2">
        <v>46570752.339752614</v>
      </c>
      <c r="G5" s="2">
        <v>-17482228.519974887</v>
      </c>
      <c r="H5" s="2">
        <v>289380.0000000216</v>
      </c>
      <c r="I5" s="2">
        <f>Table2[[#This Row],[energy_production '[MWh']]]*3.6/19.9</f>
        <v>52350.150753772759</v>
      </c>
      <c r="J5" s="2">
        <v>10.674776188588581</v>
      </c>
      <c r="K5" s="2">
        <v>3800</v>
      </c>
      <c r="L5" s="2">
        <v>111.91646756952852</v>
      </c>
    </row>
    <row r="6" spans="1:12" x14ac:dyDescent="0.35">
      <c r="A6" t="s">
        <v>14</v>
      </c>
      <c r="B6" s="1" t="s">
        <v>21</v>
      </c>
      <c r="C6" s="2">
        <v>191.59079354475409</v>
      </c>
      <c r="D6" s="2">
        <v>1059.0713309835016</v>
      </c>
      <c r="E6" s="2">
        <v>365041463.02775419</v>
      </c>
      <c r="F6" s="2">
        <v>38979017.20697663</v>
      </c>
      <c r="G6" s="2">
        <v>-17733111.92296033</v>
      </c>
      <c r="H6" s="2">
        <v>289380.0000408137</v>
      </c>
      <c r="I6" s="2">
        <f>Table2[[#This Row],[energy_production '[MWh']]]*3.6/19.9</f>
        <v>52350.150761152232</v>
      </c>
      <c r="J6" s="2">
        <v>10.674776188588581</v>
      </c>
      <c r="K6" s="2">
        <v>3800</v>
      </c>
      <c r="L6" s="2">
        <v>83.897072194424666</v>
      </c>
    </row>
    <row r="7" spans="1:12" x14ac:dyDescent="0.35">
      <c r="A7" s="1" t="s">
        <v>15</v>
      </c>
      <c r="B7" t="s">
        <v>17</v>
      </c>
      <c r="C7" s="2">
        <v>167.23349116276466</v>
      </c>
      <c r="D7" s="2">
        <v>924.42957614972681</v>
      </c>
      <c r="E7" s="2">
        <v>462805741.27027911</v>
      </c>
      <c r="F7" s="2">
        <v>118362020.77115683</v>
      </c>
      <c r="G7" s="2">
        <v>-39280441.666626617</v>
      </c>
      <c r="H7" s="2">
        <v>732129.99999997311</v>
      </c>
      <c r="I7" s="2">
        <f>Table2[[#This Row],[energy_production '[MWh']]]*3.6/19.9</f>
        <v>132445.62814069865</v>
      </c>
      <c r="J7" s="2">
        <v>10.674776188588581</v>
      </c>
      <c r="K7" s="2">
        <v>3800</v>
      </c>
      <c r="L7" s="2">
        <v>267.7873080925408</v>
      </c>
    </row>
    <row r="8" spans="1:12" x14ac:dyDescent="0.35">
      <c r="A8" s="1" t="s">
        <v>15</v>
      </c>
      <c r="B8" s="1" t="s">
        <v>18</v>
      </c>
      <c r="C8" s="2">
        <v>163.82094087858661</v>
      </c>
      <c r="D8" s="2">
        <v>905.56575652329809</v>
      </c>
      <c r="E8" s="2">
        <v>462946428.21311992</v>
      </c>
      <c r="F8" s="2">
        <v>115849946.13207094</v>
      </c>
      <c r="G8" s="2">
        <v>-39279976.848129392</v>
      </c>
      <c r="H8" s="2">
        <v>732129.99999997311</v>
      </c>
      <c r="I8" s="2">
        <f>Table2[[#This Row],[energy_production '[MWh']]]*3.6/19.9</f>
        <v>132445.62814069865</v>
      </c>
      <c r="J8" s="2">
        <v>10.674776188588581</v>
      </c>
      <c r="K8" s="2">
        <v>3800</v>
      </c>
      <c r="L8" s="2">
        <v>267.4968996709116</v>
      </c>
    </row>
    <row r="9" spans="1:12" x14ac:dyDescent="0.35">
      <c r="A9" s="1" t="s">
        <v>15</v>
      </c>
      <c r="B9" s="1" t="s">
        <v>19</v>
      </c>
      <c r="C9" s="2">
        <v>161.31378984857514</v>
      </c>
      <c r="D9" s="2">
        <v>891.70678277406807</v>
      </c>
      <c r="E9" s="2">
        <v>544651203.23642778</v>
      </c>
      <c r="F9" s="2">
        <v>106023959.03924537</v>
      </c>
      <c r="G9" s="2">
        <v>-38943553.805776827</v>
      </c>
      <c r="H9" s="2">
        <v>732129.99999997311</v>
      </c>
      <c r="I9" s="2">
        <f>Table2[[#This Row],[energy_production '[MWh']]]*3.6/19.9</f>
        <v>132445.62814069865</v>
      </c>
      <c r="J9" s="2">
        <v>10.674776188588581</v>
      </c>
      <c r="K9" s="2">
        <v>3800</v>
      </c>
      <c r="L9" s="2">
        <v>315.04485036139397</v>
      </c>
    </row>
    <row r="10" spans="1:12" x14ac:dyDescent="0.35">
      <c r="A10" s="1" t="s">
        <v>15</v>
      </c>
      <c r="B10" t="s">
        <v>20</v>
      </c>
      <c r="C10" s="2">
        <v>161.47382021368807</v>
      </c>
      <c r="D10" s="2">
        <v>892.59139507010889</v>
      </c>
      <c r="E10" s="2">
        <v>545199979.13907242</v>
      </c>
      <c r="F10" s="2">
        <v>106130854.84290341</v>
      </c>
      <c r="G10" s="2">
        <v>-38984695.234785803</v>
      </c>
      <c r="H10" s="2">
        <v>732129.99999998917</v>
      </c>
      <c r="I10" s="2">
        <f>Table2[[#This Row],[energy_production '[MWh']]]*3.6/19.9</f>
        <v>132445.62814070156</v>
      </c>
      <c r="J10" s="2">
        <v>10.674776188588581</v>
      </c>
      <c r="K10" s="2">
        <v>3800</v>
      </c>
      <c r="L10" s="2">
        <v>315.02822912476142</v>
      </c>
    </row>
    <row r="11" spans="1:12" x14ac:dyDescent="0.35">
      <c r="A11" s="1" t="s">
        <v>15</v>
      </c>
      <c r="B11" s="1" t="s">
        <v>21</v>
      </c>
      <c r="C11" s="2">
        <v>171.35646605732614</v>
      </c>
      <c r="D11" s="2">
        <v>947.22046515021952</v>
      </c>
      <c r="E11" s="2">
        <v>462805742.62175864</v>
      </c>
      <c r="F11" s="2">
        <v>121382292.19417474</v>
      </c>
      <c r="G11" s="2">
        <v>-39282159.606694758</v>
      </c>
      <c r="H11" s="2">
        <v>732130.00000001641</v>
      </c>
      <c r="I11" s="2">
        <f>Table2[[#This Row],[energy_production '[MWh']]]*3.6/19.9</f>
        <v>132445.62814070651</v>
      </c>
      <c r="J11" s="2">
        <v>10.674776188588581</v>
      </c>
      <c r="K11" s="2">
        <v>3800</v>
      </c>
      <c r="L11" s="2">
        <v>267.7873080925408</v>
      </c>
    </row>
    <row r="12" spans="1:12" x14ac:dyDescent="0.35">
      <c r="A12" s="1" t="s">
        <v>16</v>
      </c>
      <c r="B12" t="s">
        <v>17</v>
      </c>
      <c r="C12" s="2">
        <v>175.23256859402113</v>
      </c>
      <c r="D12" s="2">
        <v>968.64669861694995</v>
      </c>
      <c r="E12" s="2">
        <v>689905165.86855423</v>
      </c>
      <c r="F12" s="2">
        <v>342642095.6411854</v>
      </c>
      <c r="G12" s="2">
        <v>-91351780.626040727</v>
      </c>
      <c r="H12" s="2">
        <v>1802859.9999996542</v>
      </c>
      <c r="I12" s="2">
        <f>Table2[[#This Row],[energy_production '[MWh']]]*3.6/19.9</f>
        <v>326145.52763812843</v>
      </c>
      <c r="J12" s="2">
        <v>10.674776188588581</v>
      </c>
      <c r="K12" s="2">
        <v>3800</v>
      </c>
      <c r="L12" s="2">
        <v>525.44449032185821</v>
      </c>
    </row>
    <row r="13" spans="1:12" x14ac:dyDescent="0.35">
      <c r="A13" s="1" t="s">
        <v>16</v>
      </c>
      <c r="B13" s="1" t="s">
        <v>18</v>
      </c>
      <c r="C13" s="2">
        <v>170.58569432782946</v>
      </c>
      <c r="D13" s="2">
        <v>942.95981031216832</v>
      </c>
      <c r="E13" s="2">
        <v>605661813.4388659</v>
      </c>
      <c r="F13" s="2">
        <v>340353348.48232961</v>
      </c>
      <c r="G13" s="2">
        <v>-89548882.807793394</v>
      </c>
      <c r="H13" s="2">
        <v>1802860.0000001141</v>
      </c>
      <c r="I13" s="2">
        <f>Table2[[#This Row],[energy_production '[MWh']]]*3.6/19.9</f>
        <v>326145.52763821161</v>
      </c>
      <c r="J13" s="2">
        <v>10.674776188588581</v>
      </c>
      <c r="K13" s="2">
        <v>3800</v>
      </c>
      <c r="L13" s="2">
        <v>439.87925854005294</v>
      </c>
    </row>
    <row r="14" spans="1:12" x14ac:dyDescent="0.35">
      <c r="A14" s="1" t="s">
        <v>16</v>
      </c>
      <c r="B14" s="1" t="s">
        <v>19</v>
      </c>
      <c r="C14" s="2">
        <v>147.88694107127418</v>
      </c>
      <c r="D14" s="2">
        <v>817.48614647732109</v>
      </c>
      <c r="E14" s="2">
        <v>1159987626.053926</v>
      </c>
      <c r="F14" s="2">
        <v>249189545.18606576</v>
      </c>
      <c r="G14" s="2">
        <v>-91236319.130482271</v>
      </c>
      <c r="H14" s="2">
        <v>1802859.9999996542</v>
      </c>
      <c r="I14" s="2">
        <f>Table2[[#This Row],[energy_production '[MWh']]]*3.6/19.9</f>
        <v>326145.52763812843</v>
      </c>
      <c r="J14" s="2">
        <v>10.674776188588581</v>
      </c>
      <c r="K14" s="2">
        <v>3800</v>
      </c>
      <c r="L14" s="2">
        <v>702.10980646519704</v>
      </c>
    </row>
    <row r="15" spans="1:12" x14ac:dyDescent="0.35">
      <c r="A15" s="1" t="s">
        <v>16</v>
      </c>
      <c r="B15" t="s">
        <v>20</v>
      </c>
      <c r="C15" s="2">
        <v>147.88694107127449</v>
      </c>
      <c r="D15" s="2">
        <v>817.4861464773229</v>
      </c>
      <c r="E15" s="2">
        <v>1159987626.0539279</v>
      </c>
      <c r="F15" s="2">
        <v>249189545.18606576</v>
      </c>
      <c r="G15" s="2">
        <v>-91236319.130482271</v>
      </c>
      <c r="H15" s="2">
        <v>1802859.9999996542</v>
      </c>
      <c r="I15" s="2">
        <f>Table2[[#This Row],[energy_production '[MWh']]]*3.6/19.9</f>
        <v>326145.52763812843</v>
      </c>
      <c r="J15" s="2">
        <v>10.674776188588581</v>
      </c>
      <c r="K15" s="2">
        <v>3800</v>
      </c>
      <c r="L15" s="2">
        <v>702.10980646519556</v>
      </c>
    </row>
    <row r="16" spans="1:12" x14ac:dyDescent="0.35">
      <c r="A16" s="1" t="s">
        <v>16</v>
      </c>
      <c r="B16" s="1" t="s">
        <v>21</v>
      </c>
      <c r="C16" s="2">
        <v>184.39677564788303</v>
      </c>
      <c r="D16" s="2">
        <v>1019.3043987202423</v>
      </c>
      <c r="E16" s="2">
        <v>808418911.36206162</v>
      </c>
      <c r="F16" s="2">
        <v>347686087.33044195</v>
      </c>
      <c r="G16" s="2">
        <v>-90976212.964882404</v>
      </c>
      <c r="H16" s="2">
        <v>1802859.9999996542</v>
      </c>
      <c r="I16" s="2">
        <f>Table2[[#This Row],[energy_production '[MWh']]]*3.6/19.9</f>
        <v>326145.52763812843</v>
      </c>
      <c r="J16" s="2">
        <v>10.674776188588581</v>
      </c>
      <c r="K16" s="2">
        <v>3800</v>
      </c>
      <c r="L16" s="2">
        <v>561.0464204251416</v>
      </c>
    </row>
    <row r="17" spans="1:12" x14ac:dyDescent="0.35">
      <c r="A17" t="s">
        <v>14</v>
      </c>
      <c r="B17" t="s">
        <v>69</v>
      </c>
      <c r="C17" s="2">
        <v>194.65979782804271</v>
      </c>
      <c r="D17" s="2">
        <v>1076.0361046605692</v>
      </c>
      <c r="E17" s="2">
        <v>385167047.10552144</v>
      </c>
      <c r="F17" s="2">
        <v>37932725.808593623</v>
      </c>
      <c r="G17" s="2">
        <v>-17684052.217007659</v>
      </c>
      <c r="H17" s="2">
        <v>289380.00000002113</v>
      </c>
      <c r="I17" s="2">
        <f>Table2[[#This Row],[energy_production '[MWh']]]*3.6/19.9</f>
        <v>52350.150753772672</v>
      </c>
      <c r="J17" s="2">
        <v>10.674776188588581</v>
      </c>
      <c r="K17" s="2">
        <v>3800</v>
      </c>
      <c r="L17" s="2">
        <v>88.535992387585054</v>
      </c>
    </row>
    <row r="18" spans="1:12" x14ac:dyDescent="0.35">
      <c r="A18">
        <v>2035</v>
      </c>
      <c r="B18" t="s">
        <v>69</v>
      </c>
      <c r="C18" s="2">
        <v>168.97284471743725</v>
      </c>
      <c r="D18" s="2">
        <v>934.04433607694477</v>
      </c>
      <c r="E18" s="2">
        <v>462446648.8059656</v>
      </c>
      <c r="F18" s="2">
        <v>119665236.3503029</v>
      </c>
      <c r="G18" s="2">
        <v>-39276584.984166831</v>
      </c>
      <c r="H18" s="2">
        <v>732129.99999997311</v>
      </c>
      <c r="I18" s="2">
        <f>Table2[[#This Row],[energy_production '[MWh']]]*3.6/19.9</f>
        <v>132445.62814069865</v>
      </c>
      <c r="J18" s="2">
        <v>10.674776188588581</v>
      </c>
      <c r="K18" s="2">
        <v>3800</v>
      </c>
      <c r="L18" s="2">
        <v>267.64443853989854</v>
      </c>
    </row>
    <row r="19" spans="1:12" x14ac:dyDescent="0.35">
      <c r="A19">
        <v>2045</v>
      </c>
      <c r="B19" t="s">
        <v>69</v>
      </c>
      <c r="C19" s="2">
        <v>179.98483084041058</v>
      </c>
      <c r="D19" s="2">
        <v>994.916148256714</v>
      </c>
      <c r="E19" s="2">
        <v>691179178.55347824</v>
      </c>
      <c r="F19" s="2">
        <v>351084884.74991542</v>
      </c>
      <c r="G19" s="2">
        <v>-91346254.17406711</v>
      </c>
      <c r="H19" s="2">
        <v>1802859.9999996542</v>
      </c>
      <c r="I19" s="2">
        <f>Table2[[#This Row],[energy_production '[MWh']]]*3.6/19.9</f>
        <v>326145.52763812843</v>
      </c>
      <c r="J19" s="2">
        <v>10.674776188588581</v>
      </c>
      <c r="K19" s="2">
        <v>3800</v>
      </c>
      <c r="L19" s="2">
        <v>527.1231096868662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E54A-3435-47A0-958D-D2D4B44DC326}">
  <dimension ref="A1:E50"/>
  <sheetViews>
    <sheetView workbookViewId="0">
      <selection activeCell="D53" sqref="D53"/>
    </sheetView>
  </sheetViews>
  <sheetFormatPr defaultRowHeight="14.5" x14ac:dyDescent="0.35"/>
  <cols>
    <col min="1" max="1" width="35.453125" bestFit="1" customWidth="1"/>
    <col min="2" max="2" width="35.453125" customWidth="1"/>
    <col min="3" max="3" width="17.54296875" customWidth="1"/>
    <col min="4" max="4" width="14.26953125" bestFit="1" customWidth="1"/>
  </cols>
  <sheetData>
    <row r="1" spans="1:5" x14ac:dyDescent="0.35">
      <c r="A1" t="s">
        <v>0</v>
      </c>
      <c r="B1" t="s">
        <v>10</v>
      </c>
      <c r="C1" t="s">
        <v>1</v>
      </c>
      <c r="D1" t="s">
        <v>2</v>
      </c>
    </row>
    <row r="2" spans="1:5" x14ac:dyDescent="0.35">
      <c r="A2" t="s">
        <v>24</v>
      </c>
      <c r="B2" t="s">
        <v>11</v>
      </c>
      <c r="C2" s="2">
        <f>Comparison_scenarios!C12</f>
        <v>175.23256859402113</v>
      </c>
      <c r="D2" s="2">
        <f>Comparison_scenarios!D12</f>
        <v>968.64669861694995</v>
      </c>
      <c r="E2" s="2"/>
    </row>
    <row r="3" spans="1:5" x14ac:dyDescent="0.35">
      <c r="A3" t="s">
        <v>25</v>
      </c>
      <c r="B3" t="s">
        <v>12</v>
      </c>
      <c r="C3" s="2">
        <v>176.58194630049923</v>
      </c>
      <c r="D3" s="2">
        <v>976.10575871664832</v>
      </c>
      <c r="E3" s="2"/>
    </row>
    <row r="4" spans="1:5" x14ac:dyDescent="0.35">
      <c r="A4" t="s">
        <v>26</v>
      </c>
      <c r="B4" t="s">
        <v>12</v>
      </c>
      <c r="C4" s="2">
        <v>175.86240578271719</v>
      </c>
      <c r="D4" s="2">
        <v>972.12829863224215</v>
      </c>
      <c r="E4" s="2"/>
    </row>
    <row r="5" spans="1:5" x14ac:dyDescent="0.35">
      <c r="A5" t="s">
        <v>27</v>
      </c>
      <c r="B5" t="s">
        <v>12</v>
      </c>
      <c r="C5" s="2">
        <v>174.67905723167618</v>
      </c>
      <c r="D5" s="2">
        <v>965.58701080843218</v>
      </c>
      <c r="E5" s="2"/>
    </row>
    <row r="6" spans="1:5" x14ac:dyDescent="0.35">
      <c r="A6" t="s">
        <v>28</v>
      </c>
      <c r="B6" t="s">
        <v>12</v>
      </c>
      <c r="C6" s="2">
        <v>174.19092156058747</v>
      </c>
      <c r="D6" s="2">
        <v>962.88870529324731</v>
      </c>
      <c r="E6" s="2"/>
    </row>
    <row r="7" spans="1:5" x14ac:dyDescent="0.35">
      <c r="A7" t="s">
        <v>29</v>
      </c>
      <c r="B7" t="s">
        <v>12</v>
      </c>
      <c r="C7" s="2">
        <v>172.81539514822683</v>
      </c>
      <c r="D7" s="2">
        <v>955.28510095825379</v>
      </c>
    </row>
    <row r="8" spans="1:5" x14ac:dyDescent="0.35">
      <c r="A8" t="s">
        <v>30</v>
      </c>
      <c r="B8" t="s">
        <v>12</v>
      </c>
      <c r="C8" s="2">
        <v>174.01573818661078</v>
      </c>
      <c r="D8" s="2">
        <v>961.92033053154273</v>
      </c>
    </row>
    <row r="9" spans="1:5" x14ac:dyDescent="0.35">
      <c r="A9" t="s">
        <v>31</v>
      </c>
      <c r="B9" t="s">
        <v>12</v>
      </c>
      <c r="C9" s="2">
        <v>176.46526804273347</v>
      </c>
      <c r="D9" s="2">
        <v>975.46078723622099</v>
      </c>
    </row>
    <row r="10" spans="1:5" x14ac:dyDescent="0.35">
      <c r="A10" t="s">
        <v>32</v>
      </c>
      <c r="B10" t="s">
        <v>12</v>
      </c>
      <c r="C10" s="2">
        <v>177.71322221266584</v>
      </c>
      <c r="D10" s="2">
        <v>982.35920056445832</v>
      </c>
    </row>
    <row r="11" spans="1:5" x14ac:dyDescent="0.35">
      <c r="A11" t="s">
        <v>33</v>
      </c>
      <c r="B11" t="s">
        <v>12</v>
      </c>
      <c r="C11" s="2">
        <v>182.14301504439709</v>
      </c>
      <c r="D11" s="2">
        <v>1006.8461109398615</v>
      </c>
    </row>
    <row r="12" spans="1:5" x14ac:dyDescent="0.35">
      <c r="A12" t="s">
        <v>34</v>
      </c>
      <c r="B12" t="s">
        <v>12</v>
      </c>
      <c r="C12" s="2">
        <v>178.25607597309488</v>
      </c>
      <c r="D12" s="2">
        <v>985.35997551794105</v>
      </c>
    </row>
    <row r="13" spans="1:5" x14ac:dyDescent="0.35">
      <c r="A13" t="s">
        <v>35</v>
      </c>
      <c r="B13" t="s">
        <v>12</v>
      </c>
      <c r="C13" s="2">
        <v>177.11635080426473</v>
      </c>
      <c r="D13" s="2">
        <v>979.05982805690769</v>
      </c>
    </row>
    <row r="14" spans="1:5" x14ac:dyDescent="0.35">
      <c r="A14" t="s">
        <v>36</v>
      </c>
      <c r="B14" t="s">
        <v>12</v>
      </c>
      <c r="C14" s="2">
        <v>178.85123888325987</v>
      </c>
      <c r="D14" s="2">
        <v>988.64990382690871</v>
      </c>
    </row>
    <row r="15" spans="1:5" x14ac:dyDescent="0.35">
      <c r="A15" t="s">
        <v>37</v>
      </c>
      <c r="B15" t="s">
        <v>12</v>
      </c>
      <c r="C15" s="2">
        <v>174.05948213381069</v>
      </c>
      <c r="D15" s="2">
        <v>962.16213735078668</v>
      </c>
    </row>
    <row r="16" spans="1:5" x14ac:dyDescent="0.35">
      <c r="A16" t="s">
        <v>38</v>
      </c>
      <c r="B16" t="s">
        <v>12</v>
      </c>
      <c r="C16" s="2">
        <v>173.95866290359893</v>
      </c>
      <c r="D16" s="2">
        <v>961.60483105044966</v>
      </c>
    </row>
    <row r="17" spans="1:4" x14ac:dyDescent="0.35">
      <c r="A17" t="s">
        <v>39</v>
      </c>
      <c r="B17" t="s">
        <v>12</v>
      </c>
      <c r="C17" s="2">
        <v>176.33961537436301</v>
      </c>
      <c r="D17" s="2">
        <v>974.76620720828441</v>
      </c>
    </row>
    <row r="18" spans="1:4" x14ac:dyDescent="0.35">
      <c r="A18" t="s">
        <v>40</v>
      </c>
      <c r="B18" t="s">
        <v>12</v>
      </c>
      <c r="C18" s="2">
        <v>187.17873434604149</v>
      </c>
      <c r="D18" s="2">
        <v>1034.6824481906181</v>
      </c>
    </row>
    <row r="19" spans="1:4" x14ac:dyDescent="0.35">
      <c r="A19" t="s">
        <v>41</v>
      </c>
      <c r="B19" t="s">
        <v>13</v>
      </c>
      <c r="C19" s="2">
        <v>174.54802393785442</v>
      </c>
      <c r="D19" s="2">
        <v>964.86268787869528</v>
      </c>
    </row>
    <row r="20" spans="1:4" x14ac:dyDescent="0.35">
      <c r="A20" t="s">
        <v>42</v>
      </c>
      <c r="B20" t="s">
        <v>13</v>
      </c>
      <c r="C20" s="2">
        <v>174.89029626595462</v>
      </c>
      <c r="D20" s="2">
        <v>966.75469324791572</v>
      </c>
    </row>
    <row r="21" spans="1:4" x14ac:dyDescent="0.35">
      <c r="A21" t="s">
        <v>43</v>
      </c>
      <c r="B21" t="s">
        <v>13</v>
      </c>
      <c r="C21" s="2">
        <v>175.57484092210606</v>
      </c>
      <c r="D21" s="2">
        <v>970.53870398608626</v>
      </c>
    </row>
    <row r="22" spans="1:4" x14ac:dyDescent="0.35">
      <c r="A22" t="s">
        <v>44</v>
      </c>
      <c r="B22" t="s">
        <v>13</v>
      </c>
      <c r="C22" s="2">
        <v>175.91711325017494</v>
      </c>
      <c r="D22" s="2">
        <v>972.43070935513367</v>
      </c>
    </row>
    <row r="23" spans="1:4" x14ac:dyDescent="0.35">
      <c r="A23" t="s">
        <v>45</v>
      </c>
      <c r="B23" t="s">
        <v>13</v>
      </c>
      <c r="C23" s="2">
        <v>159.37302319048985</v>
      </c>
      <c r="D23" s="2">
        <v>880.9786559696521</v>
      </c>
    </row>
    <row r="24" spans="1:4" x14ac:dyDescent="0.35">
      <c r="A24" t="s">
        <v>46</v>
      </c>
      <c r="B24" t="s">
        <v>13</v>
      </c>
      <c r="C24" s="2">
        <v>166.99007831711188</v>
      </c>
      <c r="D24" s="2">
        <v>923.08404403070176</v>
      </c>
    </row>
    <row r="25" spans="1:4" x14ac:dyDescent="0.35">
      <c r="A25" t="s">
        <v>47</v>
      </c>
      <c r="B25" t="s">
        <v>13</v>
      </c>
      <c r="C25" s="2">
        <v>189.10987727093342</v>
      </c>
      <c r="D25" s="2">
        <v>1045.3573771365486</v>
      </c>
    </row>
    <row r="26" spans="1:4" x14ac:dyDescent="0.35">
      <c r="A26" t="s">
        <v>48</v>
      </c>
      <c r="B26" t="s">
        <v>13</v>
      </c>
      <c r="C26" s="2">
        <v>202.43948784553518</v>
      </c>
      <c r="D26" s="2">
        <v>1119.0405022572638</v>
      </c>
    </row>
    <row r="27" spans="1:4" x14ac:dyDescent="0.35">
      <c r="A27" s="4" t="s">
        <v>49</v>
      </c>
      <c r="B27" t="s">
        <v>12</v>
      </c>
      <c r="C27" s="2">
        <v>201.40732157209777</v>
      </c>
      <c r="D27" s="2">
        <v>1113.3349164679848</v>
      </c>
    </row>
    <row r="28" spans="1:4" x14ac:dyDescent="0.35">
      <c r="A28" s="3" t="s">
        <v>50</v>
      </c>
      <c r="B28" t="s">
        <v>12</v>
      </c>
      <c r="C28" s="2">
        <v>185.15983052786231</v>
      </c>
      <c r="D28" s="2">
        <v>1023.5223965290166</v>
      </c>
    </row>
    <row r="29" spans="1:4" x14ac:dyDescent="0.35">
      <c r="A29" s="4" t="s">
        <v>51</v>
      </c>
      <c r="B29" t="s">
        <v>12</v>
      </c>
      <c r="C29" s="2">
        <v>165.60418227880155</v>
      </c>
      <c r="D29" s="2">
        <v>915.42311870781964</v>
      </c>
    </row>
    <row r="30" spans="1:4" x14ac:dyDescent="0.35">
      <c r="A30" s="5" t="s">
        <v>52</v>
      </c>
      <c r="B30" t="s">
        <v>12</v>
      </c>
      <c r="C30" s="2">
        <v>158.09317281800844</v>
      </c>
      <c r="D30" s="2">
        <v>873.90392752176876</v>
      </c>
    </row>
    <row r="31" spans="1:4" x14ac:dyDescent="0.35">
      <c r="A31" s="6" t="s">
        <v>53</v>
      </c>
      <c r="B31" t="s">
        <v>13</v>
      </c>
      <c r="C31" s="2">
        <v>172.43134634561642</v>
      </c>
      <c r="D31" s="2">
        <v>953.16216452160177</v>
      </c>
    </row>
    <row r="32" spans="1:4" x14ac:dyDescent="0.35">
      <c r="A32" s="6" t="s">
        <v>54</v>
      </c>
      <c r="B32" t="s">
        <v>13</v>
      </c>
      <c r="C32" s="2">
        <v>173.94475150685801</v>
      </c>
      <c r="D32" s="2">
        <v>961.52793194068715</v>
      </c>
    </row>
    <row r="33" spans="1:4" x14ac:dyDescent="0.35">
      <c r="A33" s="6" t="s">
        <v>55</v>
      </c>
      <c r="B33" t="s">
        <v>13</v>
      </c>
      <c r="C33" s="2">
        <v>176.51484823937938</v>
      </c>
      <c r="D33" s="2">
        <v>975.73485554545823</v>
      </c>
    </row>
    <row r="34" spans="1:4" x14ac:dyDescent="0.35">
      <c r="A34" s="6" t="s">
        <v>56</v>
      </c>
      <c r="B34" t="s">
        <v>13</v>
      </c>
      <c r="C34" s="2">
        <v>177.793733571779</v>
      </c>
      <c r="D34" s="2">
        <v>982.8042494662227</v>
      </c>
    </row>
    <row r="35" spans="1:4" x14ac:dyDescent="0.35">
      <c r="A35" s="6" t="s">
        <v>57</v>
      </c>
      <c r="B35" t="s">
        <v>13</v>
      </c>
      <c r="C35" s="2">
        <v>175.17320791913718</v>
      </c>
      <c r="D35" s="2">
        <v>968.31856599745265</v>
      </c>
    </row>
    <row r="36" spans="1:4" x14ac:dyDescent="0.35">
      <c r="A36" s="6" t="s">
        <v>58</v>
      </c>
      <c r="B36" t="s">
        <v>13</v>
      </c>
      <c r="C36" s="2">
        <v>175.20288825657195</v>
      </c>
      <c r="D36" s="2">
        <v>968.48263230716145</v>
      </c>
    </row>
    <row r="37" spans="1:4" x14ac:dyDescent="0.35">
      <c r="A37" s="6" t="s">
        <v>59</v>
      </c>
      <c r="B37" t="s">
        <v>13</v>
      </c>
      <c r="C37" s="2">
        <v>175.26224893146696</v>
      </c>
      <c r="D37" s="2">
        <v>968.81076492672003</v>
      </c>
    </row>
    <row r="38" spans="1:4" x14ac:dyDescent="0.35">
      <c r="A38" s="6" t="s">
        <v>60</v>
      </c>
      <c r="B38" t="s">
        <v>13</v>
      </c>
      <c r="C38" s="2">
        <v>175.29192926889942</v>
      </c>
      <c r="D38" s="2">
        <v>968.97483123641621</v>
      </c>
    </row>
    <row r="39" spans="1:4" x14ac:dyDescent="0.35">
      <c r="A39" t="s">
        <v>61</v>
      </c>
      <c r="B39" t="s">
        <v>13</v>
      </c>
      <c r="C39" s="2">
        <v>179.98849451311281</v>
      </c>
      <c r="D39" s="2">
        <v>994.93640022526245</v>
      </c>
    </row>
    <row r="40" spans="1:4" x14ac:dyDescent="0.35">
      <c r="A40" t="s">
        <v>62</v>
      </c>
      <c r="B40" t="s">
        <v>13</v>
      </c>
      <c r="C40" s="2">
        <v>177.61053155355967</v>
      </c>
      <c r="D40" s="2">
        <v>981.79154942106584</v>
      </c>
    </row>
    <row r="41" spans="1:4" x14ac:dyDescent="0.35">
      <c r="A41" t="s">
        <v>63</v>
      </c>
      <c r="B41" t="s">
        <v>13</v>
      </c>
      <c r="C41" s="2">
        <v>172.85460560000001</v>
      </c>
      <c r="D41" s="2">
        <v>955.50184781280336</v>
      </c>
    </row>
    <row r="42" spans="1:4" x14ac:dyDescent="0.35">
      <c r="A42" t="s">
        <v>64</v>
      </c>
      <c r="B42" t="s">
        <v>13</v>
      </c>
      <c r="C42" s="2">
        <v>170.47664267493627</v>
      </c>
      <c r="D42" s="2">
        <v>942.35699700867542</v>
      </c>
    </row>
    <row r="43" spans="1:4" x14ac:dyDescent="0.35">
      <c r="A43" t="s">
        <v>65</v>
      </c>
      <c r="B43" t="s">
        <v>13</v>
      </c>
      <c r="C43" s="2">
        <v>179.98849451311276</v>
      </c>
      <c r="D43" s="2">
        <v>994.93640019999998</v>
      </c>
    </row>
    <row r="44" spans="1:4" x14ac:dyDescent="0.35">
      <c r="A44" t="s">
        <v>66</v>
      </c>
      <c r="B44" t="s">
        <v>13</v>
      </c>
      <c r="C44" s="2">
        <v>177.61053155355967</v>
      </c>
      <c r="D44" s="2">
        <v>981.79154942106584</v>
      </c>
    </row>
    <row r="45" spans="1:4" x14ac:dyDescent="0.35">
      <c r="A45" t="s">
        <v>67</v>
      </c>
      <c r="B45" t="s">
        <v>13</v>
      </c>
      <c r="C45" s="2">
        <v>172.85460560000001</v>
      </c>
      <c r="D45" s="2">
        <v>955.50184781280336</v>
      </c>
    </row>
    <row r="46" spans="1:4" x14ac:dyDescent="0.35">
      <c r="A46" t="s">
        <v>68</v>
      </c>
      <c r="B46" t="s">
        <v>13</v>
      </c>
      <c r="C46" s="2">
        <v>170.47664267493627</v>
      </c>
      <c r="D46" s="2">
        <v>942.35699700867542</v>
      </c>
    </row>
    <row r="47" spans="1:4" x14ac:dyDescent="0.35">
      <c r="A47" t="s">
        <v>70</v>
      </c>
      <c r="B47" t="s">
        <v>13</v>
      </c>
      <c r="C47" s="2">
        <v>174.89369086059241</v>
      </c>
      <c r="D47" s="2">
        <v>966.77345781271913</v>
      </c>
    </row>
    <row r="48" spans="1:4" x14ac:dyDescent="0.35">
      <c r="A48" t="s">
        <v>71</v>
      </c>
      <c r="B48" t="s">
        <v>13</v>
      </c>
      <c r="C48" s="2">
        <v>175.06357257506508</v>
      </c>
      <c r="D48" s="2">
        <v>967.71252617883192</v>
      </c>
    </row>
    <row r="49" spans="1:4" x14ac:dyDescent="0.35">
      <c r="A49" t="s">
        <v>72</v>
      </c>
      <c r="B49" t="s">
        <v>13</v>
      </c>
      <c r="C49" s="2">
        <v>175.39493356902398</v>
      </c>
      <c r="D49" s="2">
        <v>969.5442161176602</v>
      </c>
    </row>
    <row r="50" spans="1:4" x14ac:dyDescent="0.35">
      <c r="A50" t="s">
        <v>73</v>
      </c>
      <c r="B50" t="s">
        <v>13</v>
      </c>
      <c r="C50" s="2">
        <v>175.56140847631625</v>
      </c>
      <c r="D50" s="2">
        <v>970.46445241074798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Comparison_scenarios</vt:lpstr>
      <vt:lpstr>Comparison_sensitivities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2024-11-12T09:07:50Z</dcterms:created>
  <dcterms:modified xsi:type="dcterms:W3CDTF">2026-08-01T16:03:48Z</dcterms:modified>
</cp:coreProperties>
</file>