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egasoline\"/>
    </mc:Choice>
  </mc:AlternateContent>
  <xr:revisionPtr revIDLastSave="0" documentId="13_ncr:1_{B1B265BC-E6FD-4EEB-AEFF-FC09A53A5F30}" xr6:coauthVersionLast="47" xr6:coauthVersionMax="47" xr10:uidLastSave="{00000000-0000-0000-0000-000000000000}"/>
  <bookViews>
    <workbookView xWindow="25695" yWindow="0" windowWidth="26010" windowHeight="20985" activeTab="4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<sst xmlns="http://schemas.openxmlformats.org/spreadsheetml/2006/main" count="278" uniqueCount="138">
  <si>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</si>
  <si>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</si>
  <si>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</si>
  <si>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</si>
  <si>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</si>
  <si>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</si>
  <si>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</si>
  <si>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</si>
  <si>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</si>
  <si>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</si>
  <si>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</si>
  <si>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</si>
  <si>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</si>
  <si>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</si>
  <si>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</si>
  <si>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</si>
  <si>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</si>
  <si>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</si>
  <si>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</si>
  <si>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</si>
  <si>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</si>
  <si>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</si>
  <si>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</si>
  <si>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</si>
  <si>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</si>
  <si>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CO2_Vaporizer</t>
  </si>
  <si>
    <t>Connection</t>
  </si>
  <si>
    <t>Connection_type</t>
  </si>
  <si>
    <t>Cap_Output1_max</t>
  </si>
  <si>
    <t>Efficency</t>
  </si>
  <si>
    <t>Relation_Out_In</t>
  </si>
  <si>
    <t>connection_type_lossless_bidirectional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</si>
  <si>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</si>
  <si>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</si>
  <si>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</si>
  <si>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</si>
  <si>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</si>
  <si>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</si>
  <si>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</si>
  <si>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</si>
  <si>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</si>
  <si>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</si>
  <si>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D</t>
  </si>
  <si>
    <t>Object_type</t>
  </si>
  <si>
    <t>PV_plant</t>
  </si>
  <si>
    <t>Electric_Steam_Boiler</t>
  </si>
  <si>
    <t>object_type</t>
  </si>
  <si>
    <t>Methanol_Plant</t>
  </si>
  <si>
    <t>Methanol_storage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</si>
  <si>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</si>
  <si>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</si>
  <si>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</si>
  <si>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</si>
  <si>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</si>
  <si>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</si>
  <si>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Methanol_pipeline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</si>
  <si>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</si>
  <si>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</si>
  <si>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</si>
  <si>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</si>
  <si>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</si>
  <si>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</si>
  <si>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</si>
  <si>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</si>
  <si>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</si>
  <si>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</si>
  <si>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</si>
  <si>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</si>
  <si>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Distillation_tower</t>
  </si>
  <si>
    <t>solar_plant</t>
  </si>
  <si>
    <t>power</t>
  </si>
  <si>
    <t>pl_wholesale</t>
  </si>
  <si>
    <t>power_wholesale</t>
  </si>
  <si>
    <t>pl_dh</t>
  </si>
  <si>
    <t>dh</t>
  </si>
  <si>
    <t>water</t>
  </si>
  <si>
    <t>steam</t>
  </si>
  <si>
    <t>steam_plant</t>
  </si>
  <si>
    <t>h2</t>
  </si>
  <si>
    <t>h2_st</t>
  </si>
  <si>
    <t>dist_tower</t>
  </si>
  <si>
    <t>co2_vaporizer</t>
  </si>
  <si>
    <t>co2</t>
  </si>
  <si>
    <t>vaporized_co2</t>
  </si>
  <si>
    <t>pl_h2_st</t>
  </si>
  <si>
    <t>electrolyzer</t>
  </si>
  <si>
    <t>initial_units_on</t>
  </si>
  <si>
    <t>heat_low</t>
  </si>
  <si>
    <t>heat_high</t>
  </si>
  <si>
    <t>Auxilliary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</si>
  <si>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</si>
  <si>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</si>
  <si>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</si>
  <si>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</si>
  <si>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</si>
  <si>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</si>
  <si>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</si>
  <si>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</si>
  <si>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</si>
  <si>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</si>
  <si>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</si>
  <si>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</si>
  <si>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</si>
  <si>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</si>
  <si>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</si>
  <si>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</si>
  <si>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</si>
  <si>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</si>
  <si>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</si>
  <si>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</si>
  <si>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co2_import</t>
  </si>
  <si>
    <t>Fischer_Tropsch_unit</t>
  </si>
  <si>
    <t>RWGS_unit</t>
  </si>
  <si>
    <t>Power_storage</t>
  </si>
  <si>
    <t>rwgs</t>
  </si>
  <si>
    <t>raw_fuels</t>
  </si>
  <si>
    <t>fuel_synthesizer</t>
  </si>
  <si>
    <t>co</t>
  </si>
  <si>
    <t>other_fuels</t>
  </si>
  <si>
    <t>Gasoline_storage</t>
  </si>
  <si>
    <t>Gasoline_pipeline</t>
  </si>
  <si>
    <t>pl_gasoline</t>
  </si>
  <si>
    <t>egasoline</t>
  </si>
  <si>
    <t>gasoline</t>
  </si>
  <si>
    <t>gasoline_st</t>
  </si>
  <si>
    <t>power_steam</t>
  </si>
  <si>
    <t>co2_source</t>
  </si>
  <si>
    <t>heat_recovery</t>
  </si>
  <si>
    <t>60h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</si>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</sst>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4" totalsRowShown="0">
  <autoFilter ref="A1:R14" xr:uid="{A55D93BB-3EF1-4249-80C0-A8E75E738393}"/>
  <tableColumns count="18">
    <tableColumn id="1" xr3:uid="{C73E51D0-1842-42F3-9C00-F0DBD2E661BE}" name="Unit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4" totalsRowShown="0" headerRowDxfId="24" dataDxfId="22" headerRowBorderDxfId="23" tableBorderDxfId="21" totalsRowBorderDxfId="20">
  <autoFilter ref="A1:Q14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2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1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>
      <calculatedColumnFormula array="1">_xlfn._xlws.FILTER(Connections!A2:A100,ISNUMBER(FIND("storage",Connections!A2:A100)))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24" totalsRowShown="0">
  <autoFilter ref="A1:A24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4"/>
  <sheetViews>
    <sheetView zoomScaleNormal="100" workbookViewId="0">
      <selection activeCell="C2" sqref="C2:C4"/>
    </sheetView>
  </sheetViews>
  <sheetFormatPr defaultRowHeight="15" x14ac:dyDescent="0.25"/>
  <cols>
    <col min="1" max="1" width="13.85546875" customWidth="1"/>
    <col min="2" max="2" width="19.42578125" bestFit="1" customWidth="1"/>
    <col min="3" max="3" width="13.42578125" customWidth="1"/>
    <col min="4" max="4" width="16.7109375" bestFit="1" customWidth="1"/>
    <col min="5" max="11" width="10.5703125" customWidth="1"/>
    <col min="12" max="12" width="12.7109375" customWidth="1"/>
    <col min="13" max="13" width="11" bestFit="1" customWidth="1"/>
    <col min="14" max="14" width="11.85546875" bestFit="1" customWidth="1"/>
    <col min="15" max="15" width="20.28515625" bestFit="1" customWidth="1"/>
    <col min="16" max="16" width="18.5703125" bestFit="1" customWidth="1"/>
    <col min="17" max="17" width="10" bestFit="1" customWidth="1"/>
  </cols>
  <sheetData>
    <row r="1" spans="1:18" x14ac:dyDescent="0.25">
      <c r="A1" t="s">
        <v>0</v>
      </c>
      <c r="B1" t="s">
        <v>43</v>
      </c>
      <c r="C1" t="s">
        <v>101</v>
      </c>
      <c r="D1" t="s">
        <v>12</v>
      </c>
      <c r="E1" t="s">
        <v>13</v>
      </c>
      <c r="F1" t="s">
        <v>106</v>
      </c>
      <c r="G1" t="s">
        <v>107</v>
      </c>
      <c r="H1" t="s">
        <v>105</v>
      </c>
      <c r="I1" t="s">
        <v>104</v>
      </c>
      <c r="J1" t="s">
        <v>64</v>
      </c>
      <c r="K1" t="s">
        <v>65</v>
      </c>
      <c r="L1" t="s">
        <v>56</v>
      </c>
      <c r="M1" t="s">
        <v>18</v>
      </c>
      <c r="N1" t="s">
        <v>19</v>
      </c>
      <c r="O1" t="s">
        <v>24</v>
      </c>
      <c r="P1" t="s">
        <v>40</v>
      </c>
      <c r="Q1" t="s">
        <v>41</v>
      </c>
      <c r="R1" t="s">
        <v>86</v>
      </c>
    </row>
    <row r="2" spans="1:18" x14ac:dyDescent="0.25">
      <c r="A2" t="s">
        <v>69</v>
      </c>
      <c r="B2" t="s">
        <v>44</v>
      </c>
      <c r="C2" t="s">
        <v>129</v>
      </c>
      <c r="P2" s="1"/>
      <c r="Q2" s="1"/>
    </row>
    <row r="3" spans="1:18" x14ac:dyDescent="0.25">
      <c r="A3" t="s">
        <v>102</v>
      </c>
      <c r="B3" t="s">
        <v>62</v>
      </c>
      <c r="C3" t="s">
        <v>130</v>
      </c>
      <c r="P3" s="1"/>
      <c r="Q3" s="1"/>
    </row>
    <row r="4" spans="1:18" x14ac:dyDescent="0.25">
      <c r="A4" t="s">
        <v>103</v>
      </c>
      <c r="B4" t="s">
        <v>63</v>
      </c>
      <c r="C4" t="s">
        <v>131</v>
      </c>
      <c r="P4" s="1"/>
      <c r="Q4" s="1"/>
    </row>
    <row r="5" spans="1:18" x14ac:dyDescent="0.25">
      <c r="A5" t="s">
        <v>85</v>
      </c>
      <c r="B5" t="s">
        <v>60</v>
      </c>
      <c r="C5" t="s">
        <v>70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t="s">
        <v>81</v>
      </c>
      <c r="B6" t="s">
        <v>25</v>
      </c>
      <c r="C6" t="s">
        <v>83</v>
      </c>
      <c r="P6" s="1"/>
      <c r="Q6" s="1"/>
    </row>
    <row r="7" spans="1:18" x14ac:dyDescent="0.25">
      <c r="A7" t="s">
        <v>80</v>
      </c>
      <c r="B7" t="s">
        <v>68</v>
      </c>
      <c r="C7" t="s">
        <v>122</v>
      </c>
      <c r="P7" s="1" t="s">
        <v>42</v>
      </c>
      <c r="Q7" s="2">
        <v>20.192799999999998</v>
      </c>
    </row>
    <row r="8" spans="1:18" x14ac:dyDescent="0.25">
      <c r="A8" t="s">
        <v>114</v>
      </c>
      <c r="B8" t="s">
        <v>112</v>
      </c>
      <c r="C8" t="s">
        <v>117</v>
      </c>
      <c r="P8" s="1"/>
      <c r="Q8" s="1"/>
    </row>
    <row r="9" spans="1:18" x14ac:dyDescent="0.25">
      <c r="A9" t="s">
        <v>77</v>
      </c>
      <c r="B9" t="s">
        <v>45</v>
      </c>
      <c r="C9" t="s">
        <v>70</v>
      </c>
      <c r="M9">
        <v>0.11929223744292237</v>
      </c>
      <c r="P9" s="1"/>
      <c r="Q9" s="1"/>
    </row>
    <row r="10" spans="1:18" x14ac:dyDescent="0.25">
      <c r="A10" t="s">
        <v>108</v>
      </c>
      <c r="B10" t="s">
        <v>89</v>
      </c>
      <c r="C10" t="s">
        <v>75</v>
      </c>
      <c r="P10" s="1"/>
      <c r="Q10" s="1"/>
    </row>
    <row r="11" spans="1:18" x14ac:dyDescent="0.25">
      <c r="A11" t="s">
        <v>110</v>
      </c>
      <c r="B11" t="s">
        <v>89</v>
      </c>
      <c r="C11" t="s">
        <v>82</v>
      </c>
      <c r="P11" s="1"/>
      <c r="Q11" s="1"/>
    </row>
    <row r="12" spans="1:18" x14ac:dyDescent="0.25">
      <c r="A12" t="s">
        <v>116</v>
      </c>
      <c r="B12" t="s">
        <v>111</v>
      </c>
      <c r="C12" t="s">
        <v>115</v>
      </c>
      <c r="E12" t="s">
        <v>128</v>
      </c>
      <c r="P12" s="1"/>
      <c r="Q12" s="1"/>
    </row>
    <row r="13" spans="1:18" x14ac:dyDescent="0.25">
      <c r="A13" s="4" t="s">
        <v>127</v>
      </c>
      <c r="B13" s="4" t="s">
        <v>89</v>
      </c>
      <c r="C13" s="4" t="s">
        <v>88</v>
      </c>
      <c r="P13" s="1"/>
      <c r="Q13" s="1"/>
    </row>
    <row r="14" spans="1:18" x14ac:dyDescent="0.25">
      <c r="A14" s="6" t="s">
        <v>125</v>
      </c>
      <c r="B14" s="6" t="s">
        <v>89</v>
      </c>
      <c r="C14" s="6" t="s">
        <v>70</v>
      </c>
      <c r="P14" s="1"/>
      <c r="Q14" s="1"/>
    </row>
  </sheetData>
  <phoneticPr fontId="1" type="noConversion"/>
  <dataValidations count="1">
    <dataValidation type="list" allowBlank="1" showInputMessage="1" showErrorMessage="1" sqref="P2:P14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4"/>
  <sheetViews>
    <sheetView workbookViewId="0">
      <selection activeCell="G2" sqref="G2:G4"/>
    </sheetView>
  </sheetViews>
  <sheetFormatPr defaultRowHeight="15" x14ac:dyDescent="0.25"/>
  <cols>
    <col min="1" max="1" width="14.5703125" customWidth="1"/>
    <col min="2" max="2" width="13.28515625" customWidth="1"/>
    <col min="7" max="8" width="9.85546875" customWidth="1"/>
  </cols>
  <sheetData>
    <row r="1" spans="1:17" x14ac:dyDescent="0.25">
      <c r="A1" s="5" t="s">
        <v>0</v>
      </c>
      <c r="B1" s="5" t="s">
        <v>43</v>
      </c>
      <c r="C1" s="5" t="s">
        <v>1</v>
      </c>
      <c r="D1" s="5" t="s">
        <v>2</v>
      </c>
      <c r="E1" s="5" t="s">
        <v>90</v>
      </c>
      <c r="F1" s="5" t="s">
        <v>91</v>
      </c>
      <c r="G1" s="5" t="s">
        <v>3</v>
      </c>
      <c r="H1" s="5" t="s">
        <v>4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  <c r="N1" s="5" t="s">
        <v>97</v>
      </c>
      <c r="O1" s="5" t="s">
        <v>98</v>
      </c>
      <c r="P1" s="5" t="s">
        <v>99</v>
      </c>
      <c r="Q1" s="5" t="s">
        <v>100</v>
      </c>
    </row>
    <row r="2" spans="1:17" x14ac:dyDescent="0.25">
      <c r="A2" s="3" t="s">
        <v>69</v>
      </c>
      <c r="B2" s="3" t="s">
        <v>44</v>
      </c>
      <c r="C2" s="3"/>
      <c r="D2" s="3"/>
      <c r="E2" s="3"/>
      <c r="F2" s="3"/>
      <c r="G2" t="s">
        <v>129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4" t="s">
        <v>102</v>
      </c>
      <c r="B3" s="4" t="s">
        <v>62</v>
      </c>
      <c r="C3" s="4"/>
      <c r="D3" s="4"/>
      <c r="E3" s="4"/>
      <c r="F3" s="4"/>
      <c r="G3" t="s">
        <v>130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t="s">
        <v>103</v>
      </c>
      <c r="B4" t="s">
        <v>63</v>
      </c>
      <c r="C4" s="3"/>
      <c r="D4" s="3"/>
      <c r="E4" s="3"/>
      <c r="F4" s="3"/>
      <c r="G4" t="s">
        <v>131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4" t="s">
        <v>85</v>
      </c>
      <c r="B5" s="4" t="s">
        <v>60</v>
      </c>
      <c r="C5" s="4" t="s">
        <v>70</v>
      </c>
      <c r="D5" s="4" t="s">
        <v>75</v>
      </c>
      <c r="E5" s="4"/>
      <c r="F5" s="4"/>
      <c r="G5" s="4" t="s">
        <v>78</v>
      </c>
      <c r="H5" s="4" t="s">
        <v>87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25">
      <c r="A6" s="3" t="s">
        <v>81</v>
      </c>
      <c r="B6" s="3" t="s">
        <v>25</v>
      </c>
      <c r="C6" s="3" t="s">
        <v>70</v>
      </c>
      <c r="D6" s="3" t="s">
        <v>82</v>
      </c>
      <c r="E6" s="3"/>
      <c r="F6" s="3"/>
      <c r="G6" s="3" t="s">
        <v>83</v>
      </c>
      <c r="H6" s="3"/>
      <c r="I6" s="3"/>
      <c r="J6" s="3"/>
      <c r="K6" s="3">
        <v>3.529412E-3</v>
      </c>
      <c r="L6" s="3"/>
      <c r="M6" s="3"/>
      <c r="N6" s="3">
        <v>3.529412E-3</v>
      </c>
      <c r="O6" s="3"/>
      <c r="P6" s="3"/>
      <c r="Q6" s="3"/>
    </row>
    <row r="7" spans="1:17" x14ac:dyDescent="0.25">
      <c r="A7" t="s">
        <v>80</v>
      </c>
      <c r="B7" t="s">
        <v>68</v>
      </c>
      <c r="C7" s="4" t="s">
        <v>115</v>
      </c>
      <c r="D7" s="4" t="s">
        <v>78</v>
      </c>
      <c r="E7" s="4"/>
      <c r="F7" s="4"/>
      <c r="G7" s="4" t="s">
        <v>122</v>
      </c>
      <c r="H7" s="4" t="s">
        <v>118</v>
      </c>
      <c r="I7" s="4"/>
      <c r="J7" s="4"/>
      <c r="K7" s="4">
        <v>161.1904761904762</v>
      </c>
      <c r="L7" s="4"/>
      <c r="M7" s="4"/>
      <c r="N7" s="4">
        <v>1.6666666666666667</v>
      </c>
      <c r="O7" s="4">
        <v>1.4999999999999998</v>
      </c>
      <c r="P7" s="4"/>
      <c r="Q7" s="4"/>
    </row>
    <row r="8" spans="1:17" x14ac:dyDescent="0.25">
      <c r="A8" t="s">
        <v>114</v>
      </c>
      <c r="B8" t="s">
        <v>112</v>
      </c>
      <c r="C8" s="3" t="s">
        <v>78</v>
      </c>
      <c r="D8" s="3" t="s">
        <v>83</v>
      </c>
      <c r="E8" s="3" t="s">
        <v>70</v>
      </c>
      <c r="F8" s="3" t="s">
        <v>76</v>
      </c>
      <c r="G8" s="3" t="s">
        <v>117</v>
      </c>
      <c r="H8" s="3"/>
      <c r="I8" s="3"/>
      <c r="J8" s="3"/>
      <c r="K8" s="3">
        <v>2.8982576753129519</v>
      </c>
      <c r="L8" s="3">
        <v>12.285714285714285</v>
      </c>
      <c r="M8" s="3">
        <v>3.0714285714285712</v>
      </c>
      <c r="N8" s="3">
        <v>0.86</v>
      </c>
      <c r="O8" s="3"/>
      <c r="P8" s="3"/>
      <c r="Q8" s="3"/>
    </row>
    <row r="9" spans="1:17" x14ac:dyDescent="0.25">
      <c r="A9" t="s">
        <v>77</v>
      </c>
      <c r="B9" t="s">
        <v>45</v>
      </c>
      <c r="C9" s="4" t="s">
        <v>125</v>
      </c>
      <c r="D9" s="4" t="s">
        <v>75</v>
      </c>
      <c r="E9" s="4"/>
      <c r="F9" s="4"/>
      <c r="G9" s="4" t="s">
        <v>76</v>
      </c>
      <c r="H9" s="4"/>
      <c r="I9" s="4"/>
      <c r="J9" s="4"/>
      <c r="K9" s="4">
        <v>9.8530247749999979E-4</v>
      </c>
      <c r="L9" s="4"/>
      <c r="M9" s="4"/>
      <c r="N9" s="4">
        <v>1.0101010101010102</v>
      </c>
      <c r="O9" s="4"/>
      <c r="P9" s="4"/>
      <c r="Q9" s="4"/>
    </row>
    <row r="10" spans="1:17" x14ac:dyDescent="0.25">
      <c r="A10" t="s">
        <v>108</v>
      </c>
      <c r="B10" t="s">
        <v>89</v>
      </c>
      <c r="C10" s="4" t="s">
        <v>109</v>
      </c>
      <c r="G10" s="4" t="s">
        <v>75</v>
      </c>
      <c r="N10">
        <v>1</v>
      </c>
    </row>
    <row r="11" spans="1:17" x14ac:dyDescent="0.25">
      <c r="A11" t="s">
        <v>110</v>
      </c>
      <c r="B11" t="s">
        <v>89</v>
      </c>
      <c r="C11" s="4" t="s">
        <v>126</v>
      </c>
      <c r="D11" s="4"/>
      <c r="E11" s="4"/>
      <c r="F11" s="4"/>
      <c r="G11" s="4" t="s">
        <v>82</v>
      </c>
      <c r="H11" s="4"/>
      <c r="I11" s="4"/>
      <c r="J11" s="4"/>
      <c r="K11" s="4"/>
      <c r="L11" s="4"/>
      <c r="M11" s="4"/>
      <c r="N11" s="4">
        <v>1</v>
      </c>
      <c r="O11" s="4"/>
      <c r="P11" s="4"/>
      <c r="Q11" s="4"/>
    </row>
    <row r="12" spans="1:17" x14ac:dyDescent="0.25">
      <c r="A12" t="s">
        <v>116</v>
      </c>
      <c r="B12" t="s">
        <v>111</v>
      </c>
      <c r="C12" s="6" t="s">
        <v>78</v>
      </c>
      <c r="D12" s="3" t="s">
        <v>70</v>
      </c>
      <c r="E12" s="6" t="s">
        <v>117</v>
      </c>
      <c r="F12" s="6"/>
      <c r="G12" s="6" t="s">
        <v>115</v>
      </c>
      <c r="H12" s="6" t="s">
        <v>75</v>
      </c>
      <c r="I12" s="4" t="s">
        <v>88</v>
      </c>
      <c r="J12" s="3" t="s">
        <v>87</v>
      </c>
      <c r="K12" s="6">
        <v>42.75</v>
      </c>
      <c r="L12" s="6">
        <v>1.6132075471698113</v>
      </c>
      <c r="M12" s="6"/>
      <c r="N12" s="6">
        <v>1.6285714285714283</v>
      </c>
      <c r="O12" s="6">
        <v>6.7340067340067344</v>
      </c>
      <c r="P12" s="6">
        <v>5.5096418732782366</v>
      </c>
      <c r="Q12" s="6"/>
    </row>
    <row r="13" spans="1:17" x14ac:dyDescent="0.25">
      <c r="A13" s="4" t="s">
        <v>127</v>
      </c>
      <c r="B13" s="4" t="s">
        <v>89</v>
      </c>
      <c r="C13" s="4" t="s">
        <v>88</v>
      </c>
      <c r="D13" s="4"/>
      <c r="E13" s="4"/>
      <c r="F13" s="4"/>
      <c r="G13" s="4" t="s">
        <v>125</v>
      </c>
      <c r="H13" s="4"/>
      <c r="I13" s="4"/>
      <c r="J13" s="4"/>
      <c r="K13" s="4"/>
      <c r="L13" s="4"/>
      <c r="M13" s="4"/>
      <c r="N13" s="4">
        <v>1.1883541295306002</v>
      </c>
      <c r="O13" s="4"/>
      <c r="P13" s="4"/>
      <c r="Q13" s="4"/>
    </row>
    <row r="14" spans="1:17" x14ac:dyDescent="0.25">
      <c r="A14" s="6" t="s">
        <v>125</v>
      </c>
      <c r="B14" s="6" t="s">
        <v>89</v>
      </c>
      <c r="C14" s="6" t="s">
        <v>70</v>
      </c>
      <c r="D14" s="6"/>
      <c r="E14" s="6"/>
      <c r="F14" s="6"/>
      <c r="G14" s="6" t="s">
        <v>125</v>
      </c>
      <c r="H14" s="6"/>
      <c r="I14" s="6"/>
      <c r="J14" s="6"/>
      <c r="K14" s="6"/>
      <c r="L14" s="6"/>
      <c r="M14" s="6"/>
      <c r="N14" s="6">
        <v>1</v>
      </c>
      <c r="O14" s="6"/>
      <c r="P14" s="6"/>
      <c r="Q14" s="6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workbookViewId="0">
      <selection activeCell="A6" sqref="A6:AA11"/>
    </sheetView>
  </sheetViews>
  <sheetFormatPr defaultRowHeight="15" x14ac:dyDescent="0.25"/>
  <cols>
    <col min="1" max="1" width="15.42578125" customWidth="1"/>
    <col min="2" max="2" width="19.5703125" customWidth="1"/>
    <col min="3" max="6" width="16.140625" bestFit="1" customWidth="1"/>
    <col min="7" max="7" width="35.140625" bestFit="1" customWidth="1"/>
    <col min="8" max="8" width="15.28515625" customWidth="1"/>
    <col min="9" max="9" width="17.42578125" customWidth="1"/>
    <col min="10" max="10" width="15.42578125" customWidth="1"/>
    <col min="11" max="11" width="17.42578125" bestFit="1" customWidth="1"/>
    <col min="12" max="12" width="15.42578125" customWidth="1"/>
    <col min="13" max="13" width="19" customWidth="1"/>
    <col min="14" max="14" width="15.42578125" customWidth="1"/>
    <col min="15" max="15" width="19" customWidth="1"/>
    <col min="16" max="16" width="10.5703125" customWidth="1"/>
    <col min="17" max="17" width="15.5703125" bestFit="1" customWidth="1"/>
    <col min="18" max="18" width="17.140625" bestFit="1" customWidth="1"/>
    <col min="19" max="19" width="18.85546875" bestFit="1" customWidth="1"/>
    <col min="20" max="20" width="18.85546875" customWidth="1"/>
    <col min="21" max="21" width="12.85546875" customWidth="1"/>
    <col min="22" max="23" width="17.85546875" bestFit="1" customWidth="1"/>
    <col min="24" max="25" width="19.42578125" bestFit="1" customWidth="1"/>
    <col min="26" max="26" width="35.28515625" bestFit="1" customWidth="1"/>
    <col min="27" max="27" width="24.28515625" bestFit="1" customWidth="1"/>
  </cols>
  <sheetData>
    <row r="1" spans="1:27" x14ac:dyDescent="0.25">
      <c r="A1" t="s">
        <v>26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28</v>
      </c>
      <c r="N1" t="s">
        <v>10</v>
      </c>
      <c r="O1" t="s">
        <v>11</v>
      </c>
      <c r="P1" t="s">
        <v>29</v>
      </c>
      <c r="Q1" t="s">
        <v>14</v>
      </c>
      <c r="R1" t="s">
        <v>15</v>
      </c>
      <c r="S1" t="s">
        <v>16</v>
      </c>
      <c r="T1" t="s">
        <v>30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50</v>
      </c>
      <c r="AA1" t="s">
        <v>66</v>
      </c>
    </row>
    <row r="2" spans="1:27" x14ac:dyDescent="0.25">
      <c r="A2" t="s">
        <v>71</v>
      </c>
      <c r="B2" t="s">
        <v>53</v>
      </c>
      <c r="C2" t="s">
        <v>72</v>
      </c>
      <c r="D2" t="s">
        <v>70</v>
      </c>
      <c r="E2" t="s">
        <v>70</v>
      </c>
      <c r="F2" t="s">
        <v>72</v>
      </c>
      <c r="G2" t="s">
        <v>31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58</v>
      </c>
      <c r="AA2">
        <v>1</v>
      </c>
    </row>
    <row r="3" spans="1:27" x14ac:dyDescent="0.25">
      <c r="A3" t="s">
        <v>84</v>
      </c>
      <c r="B3" t="s">
        <v>52</v>
      </c>
      <c r="C3" t="s">
        <v>78</v>
      </c>
      <c r="D3" t="s">
        <v>79</v>
      </c>
      <c r="E3" t="s">
        <v>79</v>
      </c>
      <c r="F3" t="s">
        <v>78</v>
      </c>
      <c r="G3" t="s">
        <v>32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57</v>
      </c>
      <c r="AA3">
        <v>1</v>
      </c>
    </row>
    <row r="4" spans="1:27" x14ac:dyDescent="0.25">
      <c r="A4" t="s">
        <v>121</v>
      </c>
      <c r="B4" t="s">
        <v>120</v>
      </c>
      <c r="C4" t="s">
        <v>123</v>
      </c>
      <c r="D4" t="s">
        <v>124</v>
      </c>
      <c r="E4" t="s">
        <v>124</v>
      </c>
      <c r="F4" t="s">
        <v>123</v>
      </c>
      <c r="G4" t="s">
        <v>32</v>
      </c>
      <c r="AA4">
        <v>1</v>
      </c>
    </row>
    <row r="5" spans="1:27" x14ac:dyDescent="0.25">
      <c r="A5" t="s">
        <v>73</v>
      </c>
      <c r="B5" t="s">
        <v>54</v>
      </c>
      <c r="C5" t="s">
        <v>87</v>
      </c>
      <c r="E5" t="s">
        <v>74</v>
      </c>
      <c r="G5" t="s">
        <v>32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58</v>
      </c>
      <c r="AA5">
        <v>1</v>
      </c>
    </row>
    <row r="6" spans="1:27" x14ac:dyDescent="0.25">
      <c r="A6" t="s">
        <v>132</v>
      </c>
      <c r="B6" t="s">
        <v>53</v>
      </c>
      <c r="C6" t="s">
        <v>72</v>
      </c>
      <c r="D6" t="s">
        <v>129</v>
      </c>
      <c r="E6" t="s">
        <v>129</v>
      </c>
      <c r="F6" t="s">
        <v>72</v>
      </c>
      <c r="G6" s="8" t="s">
        <v>32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s="9" t="s">
        <v>58</v>
      </c>
      <c r="AA6">
        <v>1</v>
      </c>
    </row>
    <row r="7" spans="1:27" x14ac:dyDescent="0.25">
      <c r="A7" t="s">
        <v>133</v>
      </c>
      <c r="B7" t="s">
        <v>53</v>
      </c>
      <c r="C7" t="s">
        <v>129</v>
      </c>
      <c r="E7" t="s">
        <v>70</v>
      </c>
      <c r="G7" s="8" t="s">
        <v>32</v>
      </c>
      <c r="H7">
        <v>1000</v>
      </c>
      <c r="I7">
        <v>1000</v>
      </c>
      <c r="L7">
        <v>1000</v>
      </c>
      <c r="M7">
        <v>1000</v>
      </c>
      <c r="T7">
        <v>1</v>
      </c>
      <c r="Z7" s="9" t="s">
        <v>58</v>
      </c>
      <c r="AA7">
        <v>1</v>
      </c>
    </row>
    <row r="8" spans="1:27" x14ac:dyDescent="0.25">
      <c r="A8" t="s">
        <v>134</v>
      </c>
      <c r="B8" t="s">
        <v>53</v>
      </c>
      <c r="C8" t="s">
        <v>72</v>
      </c>
      <c r="D8" t="s">
        <v>130</v>
      </c>
      <c r="E8" t="s">
        <v>130</v>
      </c>
      <c r="F8" t="s">
        <v>72</v>
      </c>
      <c r="G8" s="8" t="s">
        <v>32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s="9" t="s">
        <v>58</v>
      </c>
      <c r="AA8">
        <v>1</v>
      </c>
    </row>
    <row r="9" spans="1:27" x14ac:dyDescent="0.25">
      <c r="A9" t="s">
        <v>135</v>
      </c>
      <c r="B9" t="s">
        <v>53</v>
      </c>
      <c r="C9" t="s">
        <v>130</v>
      </c>
      <c r="E9" t="s">
        <v>70</v>
      </c>
      <c r="G9" s="8" t="s">
        <v>32</v>
      </c>
      <c r="H9">
        <v>1000</v>
      </c>
      <c r="I9">
        <v>1000</v>
      </c>
      <c r="L9">
        <v>1000</v>
      </c>
      <c r="M9">
        <v>1000</v>
      </c>
      <c r="T9">
        <v>1</v>
      </c>
      <c r="Z9" s="9" t="s">
        <v>58</v>
      </c>
      <c r="AA9">
        <v>1</v>
      </c>
    </row>
    <row r="10" spans="1:27" x14ac:dyDescent="0.25">
      <c r="A10" t="s">
        <v>136</v>
      </c>
      <c r="B10" t="s">
        <v>53</v>
      </c>
      <c r="C10" t="s">
        <v>72</v>
      </c>
      <c r="D10" t="s">
        <v>131</v>
      </c>
      <c r="E10" t="s">
        <v>131</v>
      </c>
      <c r="F10" t="s">
        <v>72</v>
      </c>
      <c r="G10" s="8" t="s">
        <v>32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s="9" t="s">
        <v>58</v>
      </c>
      <c r="AA10">
        <v>1</v>
      </c>
    </row>
    <row r="11" spans="1:27" x14ac:dyDescent="0.25">
      <c r="A11" t="s">
        <v>137</v>
      </c>
      <c r="B11" t="s">
        <v>53</v>
      </c>
      <c r="C11" t="s">
        <v>131</v>
      </c>
      <c r="E11" t="s">
        <v>70</v>
      </c>
      <c r="G11" s="8" t="s">
        <v>32</v>
      </c>
      <c r="H11">
        <v>1000</v>
      </c>
      <c r="I11">
        <v>1000</v>
      </c>
      <c r="L11">
        <v>1000</v>
      </c>
      <c r="M11">
        <v>1000</v>
      </c>
      <c r="T11">
        <v>1</v>
      </c>
      <c r="Z11" s="9" t="s">
        <v>58</v>
      </c>
      <c r="AA1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B2:B100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>
      <selection activeCell="D34" sqref="D34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4.140625" bestFit="1" customWidth="1"/>
    <col min="4" max="4" width="10.5703125" bestFit="1" customWidth="1"/>
    <col min="5" max="5" width="16.5703125" bestFit="1" customWidth="1"/>
    <col min="6" max="6" width="15.85546875" bestFit="1" customWidth="1"/>
    <col min="7" max="7" width="15.85546875" customWidth="1"/>
    <col min="8" max="8" width="12.85546875" bestFit="1" customWidth="1"/>
    <col min="9" max="9" width="11" bestFit="1" customWidth="1"/>
    <col min="10" max="10" width="11.28515625" bestFit="1" customWidth="1"/>
    <col min="11" max="11" width="18.140625" customWidth="1"/>
  </cols>
  <sheetData>
    <row r="1" spans="1:11" x14ac:dyDescent="0.25">
      <c r="A1" t="s">
        <v>33</v>
      </c>
      <c r="B1" t="s">
        <v>43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17</v>
      </c>
      <c r="I1" t="s">
        <v>18</v>
      </c>
      <c r="J1" t="s">
        <v>19</v>
      </c>
      <c r="K1" t="s">
        <v>67</v>
      </c>
    </row>
    <row r="2" spans="1:11" x14ac:dyDescent="0.25">
      <c r="A2" t="s">
        <v>79</v>
      </c>
      <c r="B2" t="s">
        <v>49</v>
      </c>
      <c r="C2">
        <v>0</v>
      </c>
      <c r="D2" t="b">
        <v>1</v>
      </c>
      <c r="E2">
        <v>5478.6764505058327</v>
      </c>
      <c r="F2">
        <v>4.147E-2</v>
      </c>
      <c r="G2" t="s">
        <v>39</v>
      </c>
      <c r="K2">
        <v>0</v>
      </c>
    </row>
    <row r="3" spans="1:11" x14ac:dyDescent="0.25">
      <c r="A3" t="s">
        <v>124</v>
      </c>
      <c r="B3" t="s">
        <v>119</v>
      </c>
      <c r="C3">
        <v>0</v>
      </c>
      <c r="D3" t="b">
        <v>1</v>
      </c>
      <c r="G3" t="s">
        <v>39</v>
      </c>
      <c r="K3">
        <v>0</v>
      </c>
    </row>
  </sheetData>
  <phoneticPr fontId="1" type="noConversion"/>
  <dataValidations count="1">
    <dataValidation type="list" allowBlank="1" showInputMessage="1" showErrorMessage="1" sqref="D5 D2:D3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Drop_Down!$A$2:$A$13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24"/>
  <sheetViews>
    <sheetView tabSelected="1" workbookViewId="0">
      <selection activeCell="A24" sqref="A24"/>
    </sheetView>
  </sheetViews>
  <sheetFormatPr defaultRowHeight="15" x14ac:dyDescent="0.25"/>
  <cols>
    <col min="1" max="1" width="18.85546875" bestFit="1" customWidth="1"/>
  </cols>
  <sheetData>
    <row r="1" spans="1:1" x14ac:dyDescent="0.25">
      <c r="A1" t="s">
        <v>46</v>
      </c>
    </row>
    <row r="2" spans="1:1" x14ac:dyDescent="0.25">
      <c r="A2" t="s">
        <v>44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25</v>
      </c>
    </row>
    <row r="7" spans="1:1" x14ac:dyDescent="0.25">
      <c r="A7" t="s">
        <v>47</v>
      </c>
    </row>
    <row r="8" spans="1:1" x14ac:dyDescent="0.25">
      <c r="A8" t="s">
        <v>45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53</v>
      </c>
    </row>
    <row r="12" spans="1:1" x14ac:dyDescent="0.25">
      <c r="A12" t="s">
        <v>52</v>
      </c>
    </row>
    <row r="13" spans="1:1" x14ac:dyDescent="0.25">
      <c r="A13" t="s">
        <v>51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68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89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113</v>
      </c>
    </row>
    <row r="23" spans="1:1" x14ac:dyDescent="0.25">
      <c r="A23" t="s">
        <v>120</v>
      </c>
    </row>
    <row r="24" spans="1:1" x14ac:dyDescent="0.25">
      <c r="A24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Kacper Rokosz</cp:lastModifiedBy>
  <cp:revision/>
  <dcterms:created xsi:type="dcterms:W3CDTF">2024-01-09T13:25:56Z</dcterms:created>
  <dcterms:modified xsi:type="dcterms:W3CDTF">2026-03-16T09:49:08Z</dcterms:modified>
  <cp:category/>
  <cp:contentStatus/>
</cp:coreProperties>
</file>