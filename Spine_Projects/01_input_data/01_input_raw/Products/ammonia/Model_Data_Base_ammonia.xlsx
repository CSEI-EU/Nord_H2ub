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1_input_data\01_input_raw\Products\ammonia\"/>
    </mc:Choice>
  </mc:AlternateContent>
  <xr:revisionPtr revIDLastSave="0" documentId="13_ncr:1_{B467E2C4-1F71-4D4E-A330-F0E06CE8B525}" xr6:coauthVersionLast="47" xr6:coauthVersionMax="47" xr10:uidLastSave="{00000000-0000-0000-0000-000000000000}"/>
  <bookViews>
    <workbookView xWindow="-10110" yWindow="-21720" windowWidth="51840" windowHeight="21120" activeTab="2" xr2:uid="{50334894-9481-4F8E-BD29-206032E10C62}"/>
  </bookViews>
  <sheets>
    <sheet name="Units" sheetId="1" r:id="rId1"/>
    <sheet name="Unit_relations" sheetId="5" r:id="rId2"/>
    <sheet name="Connections" sheetId="2" r:id="rId3"/>
    <sheet name="Storages" sheetId="3" r:id="rId4"/>
    <sheet name="Drop_Down" sheetId="4" r:id="rId5"/>
  </sheets>
  <definedNames>
    <definedName name="CIQWBGuid" hidden="1">"3701cb1e-3b63-4ab2-a684-fdb01043e14d"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45429.7589699074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8" concurrentManualCount="6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<sst xmlns="http://schemas.openxmlformats.org/spreadsheetml/2006/main" count="238" uniqueCount="127">
  <si>
    <t>Unit</t>
  </si>
  <si>
    <t>Input1</t>
  </si>
  <si>
    <t>Input2</t>
  </si>
  <si>
    <t>Output1</t>
  </si>
  <si>
    <t>Output2</t>
  </si>
  <si>
    <t>Cap_Input1_existing</t>
  </si>
  <si>
    <t>Cap_Input1_max</t>
  </si>
  <si>
    <t>Cap_Input2_existing</t>
  </si>
  <si>
    <t>Cap_Input2_max</t>
  </si>
  <si>
    <t>Cap_Output1_existing</t>
  </si>
  <si>
    <t>Cap_Output2_existing</t>
  </si>
  <si>
    <t>Cap_Output2_max</t>
  </si>
  <si>
    <t>mean_efficiency</t>
  </si>
  <si>
    <t>min_down_time</t>
  </si>
  <si>
    <t>Relation_In_In</t>
  </si>
  <si>
    <t>Relation_In_Out</t>
  </si>
  <si>
    <t>Relation_Out_Out</t>
  </si>
  <si>
    <t>Cost_invest</t>
  </si>
  <si>
    <t>fom_cost</t>
  </si>
  <si>
    <t>vom_cost</t>
  </si>
  <si>
    <t>vom_cost_Input1</t>
  </si>
  <si>
    <t>vom_cost_Input2</t>
  </si>
  <si>
    <t>vom_cost_Output1</t>
  </si>
  <si>
    <t>vom_cost_Output2</t>
  </si>
  <si>
    <t>minimum_op_point</t>
  </si>
  <si>
    <t>CO2_Vaporizer</t>
  </si>
  <si>
    <t>Connection</t>
  </si>
  <si>
    <t>Connection_type</t>
  </si>
  <si>
    <t>Cap_Output1_max</t>
  </si>
  <si>
    <t>Efficency</t>
  </si>
  <si>
    <t>Relation_Out_In</t>
  </si>
  <si>
    <t>connection_type_lossless_bidirectional</t>
  </si>
  <si>
    <t>connection_type_normal</t>
  </si>
  <si>
    <t>Storage</t>
  </si>
  <si>
    <t>value_before</t>
  </si>
  <si>
    <t>has_state</t>
  </si>
  <si>
    <t>node_state_cap</t>
  </si>
  <si>
    <t>frac_state_loss</t>
  </si>
  <si>
    <t>node_state</t>
  </si>
  <si>
    <t>fix_node_state</t>
  </si>
  <si>
    <t>resolution_output</t>
  </si>
  <si>
    <t>demand</t>
  </si>
  <si>
    <t>Object_type</t>
  </si>
  <si>
    <t>PV_plant</t>
  </si>
  <si>
    <t>Electric_Steam_Boiler</t>
  </si>
  <si>
    <t>object_type</t>
  </si>
  <si>
    <t>Methanol_Plant</t>
  </si>
  <si>
    <t>Hydrogen_storage</t>
  </si>
  <si>
    <t>connection_investment_tech_lifetime</t>
  </si>
  <si>
    <t>Pipeline</t>
  </si>
  <si>
    <t>Hydrogen_pipeline</t>
  </si>
  <si>
    <t>Power_line</t>
  </si>
  <si>
    <t>Heat_pipeline</t>
  </si>
  <si>
    <t>units_on_cost</t>
  </si>
  <si>
    <t>50Y</t>
  </si>
  <si>
    <t>40Y</t>
  </si>
  <si>
    <t>AEC_Electrolyzer</t>
  </si>
  <si>
    <t>PEM_Electrolyzer</t>
  </si>
  <si>
    <t>SOEC_Electrolyzer</t>
  </si>
  <si>
    <t>Wind_onshore</t>
  </si>
  <si>
    <t>Wind_offshore</t>
  </si>
  <si>
    <t>start_up_cost</t>
  </si>
  <si>
    <t>shut_down_cost</t>
  </si>
  <si>
    <t>initial_connections_invested_available</t>
  </si>
  <si>
    <t>initial_storages_invested</t>
  </si>
  <si>
    <t>Distillation_tower</t>
  </si>
  <si>
    <t>solar_plant</t>
  </si>
  <si>
    <t>power</t>
  </si>
  <si>
    <t>pl_wholesale</t>
  </si>
  <si>
    <t>power_wholesale</t>
  </si>
  <si>
    <t>water</t>
  </si>
  <si>
    <t>h2</t>
  </si>
  <si>
    <t>h2_st</t>
  </si>
  <si>
    <t>pl_h2_st</t>
  </si>
  <si>
    <t>electrolyzer</t>
  </si>
  <si>
    <t>initial_units_on</t>
  </si>
  <si>
    <t>Auxilliary</t>
  </si>
  <si>
    <t>Input3</t>
  </si>
  <si>
    <t>Input4</t>
  </si>
  <si>
    <t>Output3</t>
  </si>
  <si>
    <t>Output4</t>
  </si>
  <si>
    <t>Relation_In1_In2</t>
  </si>
  <si>
    <t>Relation_In1_In3</t>
  </si>
  <si>
    <t>Relation_In1_In4</t>
  </si>
  <si>
    <t>Relation_In1_Out1</t>
  </si>
  <si>
    <t>Relation_Out1_Out2</t>
  </si>
  <si>
    <t>Relation_Out1_Out3</t>
  </si>
  <si>
    <t>Relation_Out1_Out4</t>
  </si>
  <si>
    <t>unit_capacity</t>
  </si>
  <si>
    <t>wind_onshore</t>
  </si>
  <si>
    <t>wind_offshore</t>
  </si>
  <si>
    <t>shut_down_limit</t>
  </si>
  <si>
    <t>start_up_limit</t>
  </si>
  <si>
    <t>ramp_up</t>
  </si>
  <si>
    <t>ramp_down</t>
  </si>
  <si>
    <t>water_import</t>
  </si>
  <si>
    <t>water_source</t>
  </si>
  <si>
    <t>asu</t>
  </si>
  <si>
    <t>Air_Separation_Unit</t>
  </si>
  <si>
    <t>Haber_Bosch_Reactor</t>
  </si>
  <si>
    <t>nh3_synthesizer</t>
  </si>
  <si>
    <t>n2</t>
  </si>
  <si>
    <t>nh3</t>
  </si>
  <si>
    <t>Ammonia_pipeline</t>
  </si>
  <si>
    <t>Ammonia_storage</t>
  </si>
  <si>
    <t>pl_nh3_st</t>
  </si>
  <si>
    <t>nh3_st</t>
  </si>
  <si>
    <t>Reformer</t>
  </si>
  <si>
    <t>o2</t>
  </si>
  <si>
    <t>24h</t>
  </si>
  <si>
    <t>solar_plant_node</t>
  </si>
  <si>
    <t>wind_onshore_plant_node</t>
  </si>
  <si>
    <t>wind_offshore_plant_node</t>
  </si>
  <si>
    <t>pl_wholesale_solar</t>
  </si>
  <si>
    <t>pl_solar_PPA</t>
  </si>
  <si>
    <t>pl_wholesale_wind_onshore</t>
  </si>
  <si>
    <t>pl_wind_onshore_PPA</t>
  </si>
  <si>
    <t>pl_wholesale_wind_offshore</t>
  </si>
  <si>
    <t>pl_wind_offshore_PPA</t>
  </si>
  <si>
    <t>excess_heat</t>
  </si>
  <si>
    <t>D</t>
  </si>
  <si>
    <t>air_import</t>
  </si>
  <si>
    <t>air_source</t>
  </si>
  <si>
    <t>air</t>
  </si>
  <si>
    <t>compression_raw_nh3</t>
  </si>
  <si>
    <t>Compressor</t>
  </si>
  <si>
    <t>raw_nh3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</si>
</sst>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0" fontId="0" fillId="3" borderId="1" xfId="0" applyFill="1" applyBorder="1"/>
    <xf numFmtId="0" fontId="0" fillId="0" borderId="1" xfId="0" applyBorder="1"/>
    <xf numFmtId="0" fontId="2" fillId="2" borderId="2" xfId="0" applyFont="1" applyFill="1" applyBorder="1"/>
    <xf numFmtId="0" fontId="0" fillId="3" borderId="3" xfId="0" applyFill="1" applyBorder="1"/>
    <xf numFmtId="0" fontId="0" fillId="3" borderId="2" xfId="0" applyFill="1" applyBorder="1"/>
    <xf numFmtId="0" fontId="2" fillId="2" borderId="4" xfId="0" applyFont="1" applyFill="1" applyBorder="1"/>
    <xf numFmtId="0" fontId="0" fillId="3" borderId="4" xfId="0" applyFill="1" applyBorder="1"/>
    <xf numFmtId="0" fontId="0" fillId="0" borderId="4" xfId="0" applyBorder="1"/>
    <xf numFmtId="0" fontId="3" fillId="0" borderId="1" xfId="0" applyFont="1" applyBorder="1"/>
  </cellXfs>
  <cellStyles count="1">
    <cellStyle name="Normal" xfId="0" builtinId="0"/>
  </cellStyles>
  <dxfs count="28"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5D93BB-3EF1-4249-80C0-A8E75E738393}" name="Table1" displayName="Table1" ref="A1:R11" totalsRowShown="0">
  <autoFilter ref="A1:R11" xr:uid="{A55D93BB-3EF1-4249-80C0-A8E75E738393}"/>
  <tableColumns count="18">
    <tableColumn id="1" xr3:uid="{88DF4E3A-CD2C-432F-B85D-4C82436680EB}" name="Unit" dataDxfId="26"/>
    <tableColumn id="40" xr3:uid="{C2CFC5A4-5329-4F74-926A-18CEB18C062C}" name="Object_type"/>
    <tableColumn id="19" xr3:uid="{976E2DCC-BEF9-4E7C-96F4-92D75CC694A2}" name="unit_capacity"/>
    <tableColumn id="35" xr3:uid="{C3887B4E-C4A5-42AB-A92F-97AD44212E95}" name="mean_efficiency"/>
    <tableColumn id="8" xr3:uid="{5F719CEE-A0F7-452C-B82C-E739C5FED49B}" name="min_down_time"/>
    <tableColumn id="26" xr3:uid="{D0F85E7B-D704-45A0-BE99-26E3A1F08634}" name="ramp_up"/>
    <tableColumn id="27" xr3:uid="{DC89C4F2-3857-45F2-B4A0-642F9C1613A6}" name="ramp_down"/>
    <tableColumn id="30" xr3:uid="{98C94D50-387A-4596-96E7-17395B3AF62E}" name="start_up_limit"/>
    <tableColumn id="32" xr3:uid="{D45EEC70-4FBC-44FF-9E9A-E2D38C52BF94}" name="shut_down_limit"/>
    <tableColumn id="36" xr3:uid="{1EE4296C-1C46-4898-8A2C-751BA3F253FD}" name="start_up_cost"/>
    <tableColumn id="37" xr3:uid="{6C1B7D2C-C9EA-4CA7-8F83-97D715B96047}" name="shut_down_cost"/>
    <tableColumn id="25" xr3:uid="{95F69D80-80E7-42BD-B42F-59F3C3DC485B}" name="units_on_cost"/>
    <tableColumn id="12" xr3:uid="{F1A83AF0-CF23-4B00-9076-4E28DF8DAFD3}" name="fom_cost"/>
    <tableColumn id="21" xr3:uid="{400CD12D-8ADA-4557-B7CA-1464809EAFF0}" name="vom_cost"/>
    <tableColumn id="15" xr3:uid="{3F5A9F9C-E4A0-47A3-8DED-03601A5E69E7}" name="minimum_op_point"/>
    <tableColumn id="38" xr3:uid="{957AF85B-8792-4643-A381-29FACAA69887}" name="resolution_output" dataDxfId="25"/>
    <tableColumn id="39" xr3:uid="{BCE2350E-150B-4A7E-94BF-BB3BC7E31016}" name="demand" dataDxfId="24"/>
    <tableColumn id="16" xr3:uid="{5F06ED78-6F41-4BEA-9209-36407E8BCFDC}" name="initial_units_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664CC4-80CB-414D-BAFE-57FF9635D79F}" name="Table5" displayName="Table5" ref="A1:Q10" totalsRowShown="0" headerRowDxfId="23" dataDxfId="21" headerRowBorderDxfId="22" tableBorderDxfId="20" totalsRowBorderDxfId="19">
  <autoFilter ref="A1:Q10" xr:uid="{C1664CC4-80CB-414D-BAFE-57FF9635D79F}"/>
  <tableColumns count="17">
    <tableColumn id="1" xr3:uid="{2BE3E317-773B-4E82-9035-69A43C6CB21B}" name="Unit" dataDxfId="18"/>
    <tableColumn id="2" xr3:uid="{22613EE0-390D-4B04-9A9B-6D5554D1C8ED}" name="Object_type" dataDxfId="17"/>
    <tableColumn id="3" xr3:uid="{54CD83B6-B63A-4ABD-99BD-9ED391BFB078}" name="Input1" dataDxfId="16"/>
    <tableColumn id="4" xr3:uid="{F183F72C-A42E-4046-9CA2-B23C4DD3765C}" name="Input2" dataDxfId="15"/>
    <tableColumn id="7" xr3:uid="{CA468CF3-FA3A-4DED-8C1A-ED8385FD2167}" name="Input3" dataDxfId="14"/>
    <tableColumn id="8" xr3:uid="{6C9174ED-453E-45B1-B2C9-DC69B7CB535A}" name="Input4" dataDxfId="13"/>
    <tableColumn id="5" xr3:uid="{513A63E4-7BE3-4AF5-AC5E-11EB4AF0D7AD}" name="Output1" dataDxfId="12"/>
    <tableColumn id="6" xr3:uid="{4623E738-60A2-497B-BD61-91A608129A61}" name="Output2" dataDxfId="11"/>
    <tableColumn id="9" xr3:uid="{5596B30B-5CDD-4E38-8C15-9C5F774E9B1F}" name="Output3" dataDxfId="10"/>
    <tableColumn id="10" xr3:uid="{CD6FCAF1-2543-4CF8-99F5-E24DBA2DEDC0}" name="Output4" dataDxfId="9"/>
    <tableColumn id="11" xr3:uid="{88F2DAC4-E2C3-4C34-B709-2523E8BE5B1F}" name="Relation_In1_In2" dataDxfId="8"/>
    <tableColumn id="14" xr3:uid="{3C190E97-FD9A-4F36-8EBF-717B1ECA00B1}" name="Relation_In1_In3" dataDxfId="7"/>
    <tableColumn id="15" xr3:uid="{043147D8-AE82-457E-8F19-EB4AE9D43B9E}" name="Relation_In1_In4" dataDxfId="6"/>
    <tableColumn id="12" xr3:uid="{A190E492-7FDF-403D-B8AF-17448A48E47F}" name="Relation_In1_Out1" dataDxfId="5"/>
    <tableColumn id="13" xr3:uid="{26E8D274-C985-4E20-8920-2BAC0A372552}" name="Relation_Out1_Out2" dataDxfId="4"/>
    <tableColumn id="16" xr3:uid="{4E0BCAE8-11F8-4D98-AECC-86C8A3C2B5C1}" name="Relation_Out1_Out3" dataDxfId="3"/>
    <tableColumn id="17" xr3:uid="{3C0369D5-4DD0-4B4B-9480-0C4665C0BC59}" name="Relation_Out1_Out4" dataDxf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56854C3-DC05-4AB8-91B8-0E52D9C11DBC}" name="Table13" displayName="Table13" ref="A1:AA10" totalsRowShown="0">
  <autoFilter ref="A1:AA10" xr:uid="{A55D93BB-3EF1-4249-80C0-A8E75E738393}"/>
  <tableColumns count="27">
    <tableColumn id="1" xr3:uid="{26B0CA71-1EA9-44CF-8E6D-31054ECA99A6}" name="Connection"/>
    <tableColumn id="26" xr3:uid="{E67F4435-EF76-417C-B715-53719E5FB41F}" name="Object_type"/>
    <tableColumn id="2" xr3:uid="{587ADBB8-7B68-42BE-A14F-535C6116E5EA}" name="Input1"/>
    <tableColumn id="3" xr3:uid="{0B221EED-10BC-4C34-AC5E-37A826B1E8AE}" name="Input2"/>
    <tableColumn id="4" xr3:uid="{13095F0A-BCF6-40A3-B029-60B11214B154}" name="Output1"/>
    <tableColumn id="5" xr3:uid="{4C6B3E52-C4A2-4D67-B50B-9DAA089E0399}" name="Output2"/>
    <tableColumn id="22" xr3:uid="{551A8663-4680-4147-9E64-4B9A8EA76642}" name="Connection_type" dataDxfId="1"/>
    <tableColumn id="6" xr3:uid="{5DF4D35D-AD4C-4648-BC90-B2BA8F975A09}" name="Cap_Input1_existing"/>
    <tableColumn id="15" xr3:uid="{C0BCA9EF-0E20-40E5-9820-0EA6AB1DE457}" name="Cap_Input1_max"/>
    <tableColumn id="14" xr3:uid="{D4F16D16-99DE-47DA-B08A-6DD56FEBC7A4}" name="Cap_Input2_existing"/>
    <tableColumn id="7" xr3:uid="{E7E4A800-7F3E-4BF9-A884-F3BDD87E4621}" name="Cap_Input2_max"/>
    <tableColumn id="16" xr3:uid="{8893BE03-F801-4096-BA71-49D3B6176542}" name="Cap_Output1_existing"/>
    <tableColumn id="17" xr3:uid="{9DC965EA-6654-4828-B29B-097368A09D75}" name="Cap_Output1_max"/>
    <tableColumn id="19" xr3:uid="{CB576510-488A-48D1-9EBF-E417CAAAB7E4}" name="Cap_Output2_existing"/>
    <tableColumn id="20" xr3:uid="{5176DB25-AD8B-43E3-AEAF-7F27C99BEFB0}" name="Cap_Output2_max"/>
    <tableColumn id="8" xr3:uid="{5E25F56C-3E8C-4A4F-ACEB-CDBC45CA165F}" name="Efficency"/>
    <tableColumn id="18" xr3:uid="{5D07405F-AE18-4D9F-96A6-B56AE42485A2}" name="Relation_In_In"/>
    <tableColumn id="9" xr3:uid="{3138804A-F699-4287-89C7-DE76BAD06195}" name="Relation_In_Out"/>
    <tableColumn id="10" xr3:uid="{AE158189-8F74-4D1A-BE7F-20B56DC1FCA0}" name="Relation_Out_Out"/>
    <tableColumn id="23" xr3:uid="{C3B5D3DD-6B9E-4750-8098-2BDCA6D4F76B}" name="Relation_Out_In"/>
    <tableColumn id="12" xr3:uid="{19693C8E-93B1-45BA-838A-11FFE3971C45}" name="fom_cost"/>
    <tableColumn id="13" xr3:uid="{9A50D747-7636-48C7-AEA4-AC76517E91C7}" name="vom_cost_Input1"/>
    <tableColumn id="21" xr3:uid="{EC2CC790-C17D-4744-A981-3984808E5B33}" name="vom_cost_Input2"/>
    <tableColumn id="24" xr3:uid="{41B338E4-2058-41E9-8000-97D77450FBC3}" name="vom_cost_Output1"/>
    <tableColumn id="25" xr3:uid="{DDAFCF0A-1EF1-4B7B-9742-01F9FA7A22E5}" name="vom_cost_Output2"/>
    <tableColumn id="29" xr3:uid="{79DE3A19-CED6-47DE-AEF5-F6BB2D320F24}" name="connection_investment_tech_lifetime" dataDxfId="0"/>
    <tableColumn id="30" xr3:uid="{09434E4A-7BF5-4547-9708-EA3F0F7ADC8E}" name="initial_connections_invested_availab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70C7B69-9214-47B9-93F0-C6C6118ED7CC}" name="Table134" displayName="Table134" ref="A1:K5" totalsRowShown="0">
  <autoFilter ref="A1:K5" xr:uid="{070C7B69-9214-47B9-93F0-C6C6118ED7CC}"/>
  <tableColumns count="11">
    <tableColumn id="1" xr3:uid="{59CF1CEF-E7FA-4B7F-9443-D4A6EAAB7A8F}" name="Storage" dataDxfId="27">
      <calculatedColumnFormula array="1">_xlfn._xlws.FILTER(Connections!A2:A99,ISNUMBER(FIND("storage",Connections!A2:A99)))</calculatedColumnFormula>
    </tableColumn>
    <tableColumn id="8" xr3:uid="{8C29206C-8DC6-44DB-A8D1-3D5625C277AD}" name="Object_type"/>
    <tableColumn id="4" xr3:uid="{AEAA1B51-84C1-491F-81D5-7757B30BDCCD}" name="value_before"/>
    <tableColumn id="5" xr3:uid="{58DBFD58-A0D2-4B31-B639-19B1628ABAC8}" name="has_state"/>
    <tableColumn id="2" xr3:uid="{1FB70133-79C8-41A8-BCD5-AC8AA5856E5B}" name="node_state_cap"/>
    <tableColumn id="3" xr3:uid="{11AD2EA9-CE36-4CCE-8F89-387EFE0D8EED}" name="frac_state_loss"/>
    <tableColumn id="7" xr3:uid="{FDFFF561-E931-46C6-8D90-30C5BF9CB9E9}" name="node_state"/>
    <tableColumn id="11" xr3:uid="{3C880482-B284-4120-859D-C69724716B06}" name="Cost_invest"/>
    <tableColumn id="12" xr3:uid="{DC155748-1945-4E24-B8A1-527B52E12445}" name="fom_cost"/>
    <tableColumn id="13" xr3:uid="{620A5657-4B04-4066-87F7-215E607C4C88}" name="vom_cost"/>
    <tableColumn id="15" xr3:uid="{5FF71707-8528-4768-8697-8818F4BC14D6}" name="initial_storages_invest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5F8A7EB-52A6-4AC4-94D0-FF5952E382A3}" name="Table4" displayName="Table4" ref="A1:A23" totalsRowShown="0">
  <autoFilter ref="A1:A23" xr:uid="{E5F8A7EB-52A6-4AC4-94D0-FF5952E382A3}"/>
  <tableColumns count="1">
    <tableColumn id="1" xr3:uid="{99EC3AFF-E76A-4BF2-94D0-13EEEC46286A}" name="object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C757C-091A-46DF-949E-B17661031FDE}">
  <dimension ref="A1:R12"/>
  <sheetViews>
    <sheetView zoomScaleNormal="100" workbookViewId="0">
      <selection activeCell="A10" sqref="A10:C10"/>
    </sheetView>
  </sheetViews>
  <sheetFormatPr defaultRowHeight="14.4" x14ac:dyDescent="0.3"/>
  <cols>
    <col min="1" max="1" width="15.5546875" bestFit="1" customWidth="1"/>
    <col min="2" max="2" width="20.44140625" bestFit="1" customWidth="1"/>
    <col min="3" max="3" width="25.6640625" bestFit="1" customWidth="1"/>
    <col min="4" max="4" width="18.109375" bestFit="1" customWidth="1"/>
    <col min="5" max="5" width="18" bestFit="1" customWidth="1"/>
    <col min="6" max="6" width="11.109375" bestFit="1" customWidth="1"/>
    <col min="7" max="7" width="13.88671875" bestFit="1" customWidth="1"/>
    <col min="8" max="8" width="15.88671875" bestFit="1" customWidth="1"/>
    <col min="9" max="9" width="18.44140625" bestFit="1" customWidth="1"/>
    <col min="10" max="10" width="15.109375" bestFit="1" customWidth="1"/>
    <col min="11" max="11" width="17.88671875" bestFit="1" customWidth="1"/>
    <col min="12" max="12" width="15.6640625" bestFit="1" customWidth="1"/>
    <col min="13" max="13" width="11.44140625" bestFit="1" customWidth="1"/>
    <col min="14" max="14" width="11.6640625" bestFit="1" customWidth="1"/>
    <col min="15" max="15" width="21.109375" bestFit="1" customWidth="1"/>
    <col min="16" max="16" width="19.6640625" bestFit="1" customWidth="1"/>
    <col min="17" max="17" width="10.5546875" bestFit="1" customWidth="1"/>
    <col min="18" max="18" width="17.33203125" bestFit="1" customWidth="1"/>
  </cols>
  <sheetData>
    <row r="1" spans="1:18" x14ac:dyDescent="0.3">
      <c r="A1" s="8" t="s">
        <v>0</v>
      </c>
      <c r="B1" s="5" t="s">
        <v>42</v>
      </c>
      <c r="C1" t="s">
        <v>88</v>
      </c>
      <c r="D1" t="s">
        <v>12</v>
      </c>
      <c r="E1" t="s">
        <v>13</v>
      </c>
      <c r="F1" t="s">
        <v>93</v>
      </c>
      <c r="G1" t="s">
        <v>94</v>
      </c>
      <c r="H1" t="s">
        <v>92</v>
      </c>
      <c r="I1" t="s">
        <v>91</v>
      </c>
      <c r="J1" t="s">
        <v>61</v>
      </c>
      <c r="K1" t="s">
        <v>62</v>
      </c>
      <c r="L1" t="s">
        <v>53</v>
      </c>
      <c r="M1" t="s">
        <v>18</v>
      </c>
      <c r="N1" t="s">
        <v>19</v>
      </c>
      <c r="O1" t="s">
        <v>24</v>
      </c>
      <c r="P1" t="s">
        <v>40</v>
      </c>
      <c r="Q1" t="s">
        <v>41</v>
      </c>
      <c r="R1" t="s">
        <v>75</v>
      </c>
    </row>
    <row r="2" spans="1:18" x14ac:dyDescent="0.3">
      <c r="A2" s="9" t="s">
        <v>66</v>
      </c>
      <c r="B2" t="s">
        <v>43</v>
      </c>
      <c r="C2" t="s">
        <v>110</v>
      </c>
      <c r="P2" s="1"/>
      <c r="Q2" s="1"/>
    </row>
    <row r="3" spans="1:18" x14ac:dyDescent="0.3">
      <c r="A3" s="10" t="s">
        <v>89</v>
      </c>
      <c r="B3" t="s">
        <v>59</v>
      </c>
      <c r="C3" t="s">
        <v>111</v>
      </c>
      <c r="P3" s="1"/>
      <c r="Q3" s="1"/>
    </row>
    <row r="4" spans="1:18" x14ac:dyDescent="0.3">
      <c r="A4" s="9" t="s">
        <v>90</v>
      </c>
      <c r="B4" t="s">
        <v>60</v>
      </c>
      <c r="C4" t="s">
        <v>112</v>
      </c>
      <c r="P4" s="1"/>
      <c r="Q4" s="1"/>
    </row>
    <row r="5" spans="1:18" x14ac:dyDescent="0.3">
      <c r="A5" s="10" t="s">
        <v>74</v>
      </c>
      <c r="B5" t="s">
        <v>57</v>
      </c>
      <c r="C5" t="s">
        <v>67</v>
      </c>
      <c r="D5">
        <v>0.75</v>
      </c>
      <c r="M5">
        <v>4.34</v>
      </c>
      <c r="O5">
        <v>0.02</v>
      </c>
      <c r="P5" s="1"/>
      <c r="Q5" s="1"/>
    </row>
    <row r="6" spans="1:18" x14ac:dyDescent="0.3">
      <c r="A6" s="9" t="s">
        <v>97</v>
      </c>
      <c r="B6" t="s">
        <v>98</v>
      </c>
      <c r="C6" t="s">
        <v>101</v>
      </c>
      <c r="O6">
        <v>0.4</v>
      </c>
      <c r="P6" s="1"/>
      <c r="Q6" s="1"/>
    </row>
    <row r="7" spans="1:18" x14ac:dyDescent="0.3">
      <c r="A7" s="10" t="s">
        <v>100</v>
      </c>
      <c r="B7" t="s">
        <v>99</v>
      </c>
      <c r="C7" t="s">
        <v>102</v>
      </c>
      <c r="E7" t="s">
        <v>109</v>
      </c>
      <c r="F7">
        <v>0.5</v>
      </c>
      <c r="G7">
        <v>0.5</v>
      </c>
      <c r="H7">
        <v>0.5</v>
      </c>
      <c r="I7">
        <v>0.5</v>
      </c>
      <c r="O7">
        <v>0.2</v>
      </c>
      <c r="P7" s="1" t="s">
        <v>120</v>
      </c>
      <c r="Q7" s="2">
        <v>20</v>
      </c>
    </row>
    <row r="8" spans="1:18" x14ac:dyDescent="0.3">
      <c r="A8" s="9" t="s">
        <v>95</v>
      </c>
      <c r="B8" t="s">
        <v>76</v>
      </c>
      <c r="C8" t="s">
        <v>70</v>
      </c>
      <c r="P8" s="1"/>
      <c r="Q8" s="1"/>
    </row>
    <row r="9" spans="1:18" x14ac:dyDescent="0.3">
      <c r="A9" s="10" t="s">
        <v>121</v>
      </c>
      <c r="B9" t="s">
        <v>76</v>
      </c>
      <c r="C9" t="s">
        <v>122</v>
      </c>
    </row>
    <row r="10" spans="1:18" x14ac:dyDescent="0.3">
      <c r="A10" t="s">
        <v>124</v>
      </c>
      <c r="B10" t="s">
        <v>125</v>
      </c>
      <c r="C10" t="s">
        <v>71</v>
      </c>
    </row>
    <row r="11" spans="1:18" x14ac:dyDescent="0.3">
      <c r="A11" s="10"/>
      <c r="P11" s="1"/>
      <c r="Q11" s="1"/>
    </row>
    <row r="12" spans="1:18" x14ac:dyDescent="0.3">
      <c r="Q12" s="1"/>
      <c r="R12" s="1"/>
    </row>
  </sheetData>
  <phoneticPr fontId="1" type="noConversion"/>
  <dataValidations count="1">
    <dataValidation type="list" allowBlank="1" showInputMessage="1" showErrorMessage="1" sqref="P2:P8 P11 Q12" xr:uid="{D92CB468-B7A9-4082-9B81-D3B4634F286E}">
      <formula1>"h, D, W, M, Q, Y"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366E42-33F3-4EDD-93D9-8063CF7ED881}">
          <x14:formula1>
            <xm:f>Drop_Down!$A:$A</xm:f>
          </x14:formula1>
          <xm:sqref>C12:C1048576 A11 B1:B10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BA7C5-6230-4207-9D35-0A95D86E66AC}">
  <dimension ref="A1:Q10"/>
  <sheetViews>
    <sheetView workbookViewId="0">
      <selection activeCell="L8" sqref="L8"/>
    </sheetView>
  </sheetViews>
  <sheetFormatPr defaultRowHeight="14.4" x14ac:dyDescent="0.3"/>
  <cols>
    <col min="1" max="1" width="15.5546875" bestFit="1" customWidth="1"/>
    <col min="2" max="2" width="20.44140625" bestFit="1" customWidth="1"/>
    <col min="3" max="3" width="13.109375" bestFit="1" customWidth="1"/>
    <col min="4" max="6" width="9" bestFit="1" customWidth="1"/>
    <col min="7" max="7" width="25.6640625" bestFit="1" customWidth="1"/>
    <col min="8" max="8" width="11.88671875" bestFit="1" customWidth="1"/>
    <col min="9" max="10" width="10.5546875" bestFit="1" customWidth="1"/>
    <col min="11" max="13" width="18.33203125" bestFit="1" customWidth="1"/>
    <col min="14" max="14" width="20" bestFit="1" customWidth="1"/>
    <col min="15" max="17" width="21.5546875" bestFit="1" customWidth="1"/>
  </cols>
  <sheetData>
    <row r="1" spans="1:17" x14ac:dyDescent="0.3">
      <c r="A1" s="5" t="s">
        <v>0</v>
      </c>
      <c r="B1" s="5" t="s">
        <v>42</v>
      </c>
      <c r="C1" s="5" t="s">
        <v>1</v>
      </c>
      <c r="D1" s="5" t="s">
        <v>2</v>
      </c>
      <c r="E1" s="5" t="s">
        <v>77</v>
      </c>
      <c r="F1" s="5" t="s">
        <v>78</v>
      </c>
      <c r="G1" s="5" t="s">
        <v>3</v>
      </c>
      <c r="H1" s="5" t="s">
        <v>4</v>
      </c>
      <c r="I1" s="5" t="s">
        <v>79</v>
      </c>
      <c r="J1" s="5" t="s">
        <v>80</v>
      </c>
      <c r="K1" s="5" t="s">
        <v>81</v>
      </c>
      <c r="L1" s="5" t="s">
        <v>82</v>
      </c>
      <c r="M1" s="5" t="s">
        <v>83</v>
      </c>
      <c r="N1" s="5" t="s">
        <v>84</v>
      </c>
      <c r="O1" s="5" t="s">
        <v>85</v>
      </c>
      <c r="P1" s="5" t="s">
        <v>86</v>
      </c>
      <c r="Q1" s="5" t="s">
        <v>87</v>
      </c>
    </row>
    <row r="2" spans="1:17" x14ac:dyDescent="0.3">
      <c r="A2" s="3" t="s">
        <v>66</v>
      </c>
      <c r="B2" s="3" t="s">
        <v>43</v>
      </c>
      <c r="C2" s="3"/>
      <c r="D2" s="3"/>
      <c r="E2" s="3"/>
      <c r="F2" s="3"/>
      <c r="G2" t="s">
        <v>110</v>
      </c>
      <c r="H2" s="3"/>
      <c r="I2" s="7"/>
      <c r="J2" s="7"/>
      <c r="K2" s="7"/>
      <c r="L2" s="7"/>
      <c r="M2" s="7"/>
      <c r="N2" s="7"/>
      <c r="O2" s="7"/>
      <c r="P2" s="7"/>
      <c r="Q2" s="7"/>
    </row>
    <row r="3" spans="1:17" x14ac:dyDescent="0.3">
      <c r="A3" s="4" t="s">
        <v>89</v>
      </c>
      <c r="B3" s="4" t="s">
        <v>59</v>
      </c>
      <c r="C3" s="4"/>
      <c r="D3" s="4"/>
      <c r="E3" s="4"/>
      <c r="F3" s="4"/>
      <c r="G3" t="s">
        <v>111</v>
      </c>
      <c r="H3" s="4"/>
      <c r="I3" s="4"/>
      <c r="J3" s="4"/>
      <c r="K3" s="4"/>
      <c r="L3" s="4"/>
      <c r="M3" s="4"/>
      <c r="N3" s="4"/>
      <c r="O3" s="4"/>
      <c r="P3" s="4"/>
      <c r="Q3" s="4"/>
    </row>
    <row r="4" spans="1:17" x14ac:dyDescent="0.3">
      <c r="A4" t="s">
        <v>90</v>
      </c>
      <c r="B4" t="s">
        <v>60</v>
      </c>
      <c r="C4" s="3"/>
      <c r="D4" s="3"/>
      <c r="E4" s="3"/>
      <c r="F4" s="3"/>
      <c r="G4" t="s">
        <v>112</v>
      </c>
      <c r="H4" s="3"/>
      <c r="I4" s="3"/>
      <c r="J4" s="3"/>
      <c r="K4" s="3"/>
      <c r="L4" s="3"/>
      <c r="M4" s="3"/>
      <c r="N4" s="3"/>
      <c r="O4" s="3"/>
      <c r="P4" s="3"/>
      <c r="Q4" s="3"/>
    </row>
    <row r="5" spans="1:17" x14ac:dyDescent="0.3">
      <c r="A5" s="4" t="s">
        <v>74</v>
      </c>
      <c r="B5" s="4" t="s">
        <v>57</v>
      </c>
      <c r="C5" s="4" t="s">
        <v>67</v>
      </c>
      <c r="D5" s="4" t="s">
        <v>70</v>
      </c>
      <c r="E5" s="4"/>
      <c r="F5" s="4"/>
      <c r="G5" s="4" t="s">
        <v>71</v>
      </c>
      <c r="H5" s="4" t="s">
        <v>119</v>
      </c>
      <c r="I5" s="4" t="s">
        <v>108</v>
      </c>
      <c r="J5" s="4"/>
      <c r="K5" s="4">
        <v>5.8500000000000002E-3</v>
      </c>
      <c r="L5" s="4"/>
      <c r="M5" s="4"/>
      <c r="N5" s="4"/>
      <c r="O5" s="4">
        <v>1.76</v>
      </c>
      <c r="P5" s="4">
        <v>4.1662499999999998</v>
      </c>
      <c r="Q5" s="4"/>
    </row>
    <row r="6" spans="1:17" x14ac:dyDescent="0.3">
      <c r="A6" t="s">
        <v>97</v>
      </c>
      <c r="B6" s="3" t="s">
        <v>98</v>
      </c>
      <c r="C6" s="3" t="s">
        <v>67</v>
      </c>
      <c r="D6" t="s">
        <v>123</v>
      </c>
      <c r="E6" s="3"/>
      <c r="F6" s="3"/>
      <c r="G6" s="3" t="s">
        <v>101</v>
      </c>
      <c r="H6" s="3"/>
      <c r="I6" s="3"/>
      <c r="J6" s="3"/>
      <c r="K6">
        <v>0.35</v>
      </c>
      <c r="L6" s="3"/>
      <c r="M6" s="3"/>
      <c r="N6">
        <v>2.7777777777777779E-3</v>
      </c>
      <c r="O6" s="3"/>
      <c r="P6" s="3"/>
      <c r="Q6" s="3"/>
    </row>
    <row r="7" spans="1:17" x14ac:dyDescent="0.3">
      <c r="A7" t="s">
        <v>100</v>
      </c>
      <c r="B7" s="4" t="s">
        <v>99</v>
      </c>
      <c r="C7" s="4" t="s">
        <v>126</v>
      </c>
      <c r="D7" s="4" t="s">
        <v>67</v>
      </c>
      <c r="E7" s="4"/>
      <c r="F7" s="4"/>
      <c r="G7" s="4" t="s">
        <v>102</v>
      </c>
      <c r="H7" s="4" t="s">
        <v>119</v>
      </c>
      <c r="I7" s="4"/>
      <c r="J7" s="4"/>
      <c r="K7">
        <v>52.631578947368425</v>
      </c>
      <c r="L7" s="4"/>
      <c r="M7" s="4"/>
      <c r="N7">
        <v>1</v>
      </c>
      <c r="O7" s="11">
        <v>6.8493150684931514</v>
      </c>
      <c r="P7" s="4"/>
      <c r="Q7" s="4"/>
    </row>
    <row r="8" spans="1:17" x14ac:dyDescent="0.3">
      <c r="A8" s="4" t="s">
        <v>95</v>
      </c>
      <c r="B8" s="4" t="s">
        <v>76</v>
      </c>
      <c r="C8" s="4" t="s">
        <v>96</v>
      </c>
      <c r="D8" s="4"/>
      <c r="E8" s="4"/>
      <c r="F8" s="4"/>
      <c r="G8" s="4" t="s">
        <v>70</v>
      </c>
      <c r="H8" s="4"/>
      <c r="I8" s="4"/>
      <c r="J8" s="4"/>
      <c r="K8" s="4"/>
      <c r="L8" s="4"/>
      <c r="M8" s="4"/>
      <c r="N8" s="4">
        <v>1</v>
      </c>
      <c r="O8" s="4"/>
      <c r="P8" s="4"/>
      <c r="Q8" s="4"/>
    </row>
    <row r="9" spans="1:17" x14ac:dyDescent="0.3">
      <c r="A9" s="10" t="s">
        <v>121</v>
      </c>
      <c r="B9" t="s">
        <v>76</v>
      </c>
      <c r="C9" t="s">
        <v>122</v>
      </c>
      <c r="G9" t="s">
        <v>123</v>
      </c>
      <c r="N9">
        <v>1</v>
      </c>
    </row>
    <row r="10" spans="1:17" x14ac:dyDescent="0.3">
      <c r="A10" t="s">
        <v>124</v>
      </c>
      <c r="B10" t="s">
        <v>125</v>
      </c>
      <c r="C10" t="s">
        <v>71</v>
      </c>
      <c r="D10" s="6" t="s">
        <v>101</v>
      </c>
      <c r="E10" s="6" t="s">
        <v>67</v>
      </c>
      <c r="F10" s="6"/>
      <c r="G10" s="6" t="s">
        <v>126</v>
      </c>
      <c r="H10" s="6"/>
      <c r="I10" s="6"/>
      <c r="J10" s="6"/>
      <c r="K10" s="6">
        <v>1.3898000000000001E-2</v>
      </c>
      <c r="L10" s="6">
        <v>18.181818181818183</v>
      </c>
      <c r="M10" s="6"/>
      <c r="N10" s="6">
        <v>0.97360000000000002</v>
      </c>
      <c r="O10" s="6"/>
      <c r="P10" s="6"/>
      <c r="Q10" s="6"/>
    </row>
  </sheetData>
  <phoneticPr fontId="1" type="noConversion"/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BFD4B1-6005-459B-BC7A-7FFB082935AB}">
          <x14:formula1>
            <xm:f>Drop_Down!$A:$A</xm:f>
          </x14:formula1>
          <xm:sqref>B1:B10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BDA0-9E4C-481D-87BE-9D47789809C8}">
  <dimension ref="A1:AA10"/>
  <sheetViews>
    <sheetView tabSelected="1" workbookViewId="0"/>
  </sheetViews>
  <sheetFormatPr defaultRowHeight="14.4" x14ac:dyDescent="0.3"/>
  <cols>
    <col min="1" max="1" width="27.44140625" bestFit="1" customWidth="1"/>
    <col min="2" max="2" width="18.33203125" bestFit="1" customWidth="1"/>
    <col min="3" max="5" width="25.6640625" bestFit="1" customWidth="1"/>
    <col min="6" max="6" width="17" bestFit="1" customWidth="1"/>
    <col min="7" max="7" width="36.88671875" bestFit="1" customWidth="1"/>
    <col min="8" max="8" width="21.5546875" bestFit="1" customWidth="1"/>
    <col min="9" max="9" width="18.109375" bestFit="1" customWidth="1"/>
    <col min="10" max="10" width="21.5546875" bestFit="1" customWidth="1"/>
    <col min="11" max="11" width="18.109375" bestFit="1" customWidth="1"/>
    <col min="12" max="12" width="23.109375" bestFit="1" customWidth="1"/>
    <col min="13" max="13" width="19.88671875" bestFit="1" customWidth="1"/>
    <col min="14" max="14" width="23.109375" bestFit="1" customWidth="1"/>
    <col min="15" max="15" width="19.88671875" bestFit="1" customWidth="1"/>
    <col min="16" max="16" width="10.5546875" customWidth="1"/>
    <col min="17" max="17" width="15.5546875" bestFit="1" customWidth="1"/>
    <col min="18" max="18" width="17.109375" bestFit="1" customWidth="1"/>
    <col min="19" max="19" width="18.88671875" bestFit="1" customWidth="1"/>
    <col min="20" max="20" width="18.88671875" customWidth="1"/>
    <col min="21" max="21" width="12.88671875" customWidth="1"/>
    <col min="22" max="23" width="17.88671875" bestFit="1" customWidth="1"/>
    <col min="24" max="25" width="19.44140625" bestFit="1" customWidth="1"/>
    <col min="26" max="26" width="35.33203125" bestFit="1" customWidth="1"/>
    <col min="27" max="27" width="24.33203125" bestFit="1" customWidth="1"/>
  </cols>
  <sheetData>
    <row r="1" spans="1:27" x14ac:dyDescent="0.3">
      <c r="A1" t="s">
        <v>26</v>
      </c>
      <c r="B1" t="s">
        <v>42</v>
      </c>
      <c r="C1" t="s">
        <v>1</v>
      </c>
      <c r="D1" t="s">
        <v>2</v>
      </c>
      <c r="E1" t="s">
        <v>3</v>
      </c>
      <c r="F1" t="s">
        <v>4</v>
      </c>
      <c r="G1" t="s">
        <v>27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28</v>
      </c>
      <c r="N1" t="s">
        <v>10</v>
      </c>
      <c r="O1" t="s">
        <v>11</v>
      </c>
      <c r="P1" t="s">
        <v>29</v>
      </c>
      <c r="Q1" t="s">
        <v>14</v>
      </c>
      <c r="R1" t="s">
        <v>15</v>
      </c>
      <c r="S1" t="s">
        <v>16</v>
      </c>
      <c r="T1" t="s">
        <v>30</v>
      </c>
      <c r="U1" t="s">
        <v>18</v>
      </c>
      <c r="V1" t="s">
        <v>20</v>
      </c>
      <c r="W1" t="s">
        <v>21</v>
      </c>
      <c r="X1" t="s">
        <v>22</v>
      </c>
      <c r="Y1" t="s">
        <v>23</v>
      </c>
      <c r="Z1" t="s">
        <v>48</v>
      </c>
      <c r="AA1" t="s">
        <v>63</v>
      </c>
    </row>
    <row r="2" spans="1:27" x14ac:dyDescent="0.3">
      <c r="A2" t="s">
        <v>68</v>
      </c>
      <c r="B2" t="s">
        <v>51</v>
      </c>
      <c r="C2" t="s">
        <v>69</v>
      </c>
      <c r="D2" t="s">
        <v>67</v>
      </c>
      <c r="E2" t="s">
        <v>67</v>
      </c>
      <c r="F2" t="s">
        <v>69</v>
      </c>
      <c r="G2" t="s">
        <v>31</v>
      </c>
      <c r="H2">
        <v>1000</v>
      </c>
      <c r="I2">
        <v>1000</v>
      </c>
      <c r="J2">
        <v>1000</v>
      </c>
      <c r="K2">
        <v>1000</v>
      </c>
      <c r="L2">
        <v>1000</v>
      </c>
      <c r="M2">
        <v>1000</v>
      </c>
      <c r="N2">
        <v>1000</v>
      </c>
      <c r="O2">
        <v>1000</v>
      </c>
      <c r="R2">
        <v>1</v>
      </c>
      <c r="T2">
        <v>1</v>
      </c>
      <c r="Z2" t="s">
        <v>55</v>
      </c>
      <c r="AA2">
        <v>1</v>
      </c>
    </row>
    <row r="3" spans="1:27" x14ac:dyDescent="0.3">
      <c r="A3" t="s">
        <v>73</v>
      </c>
      <c r="B3" t="s">
        <v>50</v>
      </c>
      <c r="C3" t="s">
        <v>71</v>
      </c>
      <c r="D3" t="s">
        <v>72</v>
      </c>
      <c r="E3" t="s">
        <v>72</v>
      </c>
      <c r="F3" t="s">
        <v>71</v>
      </c>
      <c r="G3" t="s">
        <v>32</v>
      </c>
      <c r="H3">
        <v>1000</v>
      </c>
      <c r="J3">
        <v>1000</v>
      </c>
      <c r="K3">
        <v>1000</v>
      </c>
      <c r="L3">
        <v>1000</v>
      </c>
      <c r="M3">
        <v>1000</v>
      </c>
      <c r="N3">
        <v>1000</v>
      </c>
      <c r="R3">
        <v>1</v>
      </c>
      <c r="T3">
        <v>0.88</v>
      </c>
      <c r="U3">
        <v>7.2835616438356163E-2</v>
      </c>
      <c r="Z3" t="s">
        <v>54</v>
      </c>
      <c r="AA3">
        <v>1</v>
      </c>
    </row>
    <row r="4" spans="1:27" x14ac:dyDescent="0.3">
      <c r="A4" t="s">
        <v>105</v>
      </c>
      <c r="B4" t="s">
        <v>103</v>
      </c>
      <c r="C4" t="s">
        <v>102</v>
      </c>
      <c r="D4" t="s">
        <v>106</v>
      </c>
      <c r="E4" t="s">
        <v>106</v>
      </c>
      <c r="F4" t="s">
        <v>102</v>
      </c>
      <c r="G4" t="s">
        <v>32</v>
      </c>
      <c r="H4">
        <v>1000</v>
      </c>
      <c r="J4">
        <v>1000</v>
      </c>
      <c r="K4">
        <v>1000</v>
      </c>
      <c r="L4">
        <v>1000</v>
      </c>
      <c r="M4">
        <v>1000</v>
      </c>
      <c r="N4">
        <v>1000</v>
      </c>
      <c r="R4">
        <v>0.99983999999999995</v>
      </c>
      <c r="T4">
        <v>0.99983999999999995</v>
      </c>
      <c r="U4">
        <v>1.0958904109589041E-2</v>
      </c>
      <c r="Z4" t="s">
        <v>54</v>
      </c>
      <c r="AA4">
        <v>1</v>
      </c>
    </row>
    <row r="5" spans="1:27" x14ac:dyDescent="0.3">
      <c r="A5" t="s">
        <v>113</v>
      </c>
      <c r="B5" t="s">
        <v>51</v>
      </c>
      <c r="C5" t="s">
        <v>69</v>
      </c>
      <c r="D5" t="s">
        <v>110</v>
      </c>
      <c r="E5" t="s">
        <v>110</v>
      </c>
      <c r="F5" t="s">
        <v>69</v>
      </c>
      <c r="G5" t="s">
        <v>32</v>
      </c>
      <c r="H5">
        <v>1000</v>
      </c>
      <c r="I5">
        <v>1000</v>
      </c>
      <c r="J5">
        <v>1000</v>
      </c>
      <c r="K5">
        <v>1000</v>
      </c>
      <c r="L5">
        <v>1000</v>
      </c>
      <c r="M5">
        <v>1000</v>
      </c>
      <c r="N5">
        <v>1000</v>
      </c>
      <c r="O5">
        <v>1000</v>
      </c>
      <c r="R5">
        <v>1</v>
      </c>
      <c r="T5">
        <v>1</v>
      </c>
      <c r="Z5" t="s">
        <v>55</v>
      </c>
      <c r="AA5">
        <v>1</v>
      </c>
    </row>
    <row r="6" spans="1:27" x14ac:dyDescent="0.3">
      <c r="A6" t="s">
        <v>114</v>
      </c>
      <c r="B6" t="s">
        <v>51</v>
      </c>
      <c r="C6" t="s">
        <v>110</v>
      </c>
      <c r="E6" t="s">
        <v>67</v>
      </c>
      <c r="G6" t="s">
        <v>32</v>
      </c>
      <c r="H6">
        <v>1000</v>
      </c>
      <c r="I6">
        <v>1000</v>
      </c>
      <c r="L6">
        <v>1000</v>
      </c>
      <c r="M6">
        <v>1000</v>
      </c>
      <c r="T6">
        <v>1</v>
      </c>
      <c r="Z6" t="s">
        <v>55</v>
      </c>
      <c r="AA6">
        <v>1</v>
      </c>
    </row>
    <row r="7" spans="1:27" x14ac:dyDescent="0.3">
      <c r="A7" t="s">
        <v>115</v>
      </c>
      <c r="B7" t="s">
        <v>51</v>
      </c>
      <c r="C7" t="s">
        <v>69</v>
      </c>
      <c r="D7" t="s">
        <v>111</v>
      </c>
      <c r="E7" t="s">
        <v>111</v>
      </c>
      <c r="F7" t="s">
        <v>69</v>
      </c>
      <c r="G7" t="s">
        <v>32</v>
      </c>
      <c r="H7">
        <v>1000</v>
      </c>
      <c r="I7">
        <v>1000</v>
      </c>
      <c r="J7">
        <v>1000</v>
      </c>
      <c r="K7">
        <v>1000</v>
      </c>
      <c r="L7">
        <v>1000</v>
      </c>
      <c r="M7">
        <v>1000</v>
      </c>
      <c r="N7">
        <v>1000</v>
      </c>
      <c r="O7">
        <v>1000</v>
      </c>
      <c r="R7">
        <v>1</v>
      </c>
      <c r="T7">
        <v>1</v>
      </c>
      <c r="Z7" t="s">
        <v>55</v>
      </c>
      <c r="AA7">
        <v>1</v>
      </c>
    </row>
    <row r="8" spans="1:27" x14ac:dyDescent="0.3">
      <c r="A8" t="s">
        <v>116</v>
      </c>
      <c r="B8" t="s">
        <v>51</v>
      </c>
      <c r="C8" t="s">
        <v>111</v>
      </c>
      <c r="E8" t="s">
        <v>67</v>
      </c>
      <c r="G8" t="s">
        <v>32</v>
      </c>
      <c r="H8">
        <v>1000</v>
      </c>
      <c r="I8">
        <v>1000</v>
      </c>
      <c r="L8">
        <v>1000</v>
      </c>
      <c r="M8">
        <v>1000</v>
      </c>
      <c r="T8">
        <v>1</v>
      </c>
      <c r="Z8" t="s">
        <v>55</v>
      </c>
      <c r="AA8">
        <v>1</v>
      </c>
    </row>
    <row r="9" spans="1:27" x14ac:dyDescent="0.3">
      <c r="A9" t="s">
        <v>117</v>
      </c>
      <c r="B9" t="s">
        <v>51</v>
      </c>
      <c r="C9" t="s">
        <v>69</v>
      </c>
      <c r="D9" t="s">
        <v>112</v>
      </c>
      <c r="E9" t="s">
        <v>112</v>
      </c>
      <c r="F9" t="s">
        <v>69</v>
      </c>
      <c r="G9" t="s">
        <v>32</v>
      </c>
      <c r="H9">
        <v>1000</v>
      </c>
      <c r="I9">
        <v>1000</v>
      </c>
      <c r="J9">
        <v>1000</v>
      </c>
      <c r="K9">
        <v>1000</v>
      </c>
      <c r="L9">
        <v>1000</v>
      </c>
      <c r="M9">
        <v>1000</v>
      </c>
      <c r="N9">
        <v>1000</v>
      </c>
      <c r="O9">
        <v>1000</v>
      </c>
      <c r="R9">
        <v>1</v>
      </c>
      <c r="T9">
        <v>1</v>
      </c>
      <c r="Z9" t="s">
        <v>55</v>
      </c>
      <c r="AA9">
        <v>1</v>
      </c>
    </row>
    <row r="10" spans="1:27" x14ac:dyDescent="0.3">
      <c r="A10" t="s">
        <v>118</v>
      </c>
      <c r="B10" t="s">
        <v>51</v>
      </c>
      <c r="C10" t="s">
        <v>112</v>
      </c>
      <c r="E10" t="s">
        <v>67</v>
      </c>
      <c r="G10" t="s">
        <v>32</v>
      </c>
      <c r="H10">
        <v>1000</v>
      </c>
      <c r="I10">
        <v>1000</v>
      </c>
      <c r="L10">
        <v>1000</v>
      </c>
      <c r="M10">
        <v>1000</v>
      </c>
      <c r="T10">
        <v>1</v>
      </c>
      <c r="Z10" t="s">
        <v>55</v>
      </c>
      <c r="AA10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5B4E672-DF5B-4E33-8C90-3907F490B7EF}">
          <x14:formula1>
            <xm:f>Drop_Down!$A$2:$A$60</xm:f>
          </x14:formula1>
          <xm:sqref>B2:B99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FA5E-60F3-446F-A856-2FA65B76879A}">
  <dimension ref="A1:K3"/>
  <sheetViews>
    <sheetView workbookViewId="0">
      <selection activeCell="I13" sqref="I13"/>
    </sheetView>
  </sheetViews>
  <sheetFormatPr defaultRowHeight="14.4" x14ac:dyDescent="0.3"/>
  <cols>
    <col min="1" max="1" width="9.44140625" bestFit="1" customWidth="1"/>
    <col min="2" max="2" width="16.109375" bestFit="1" customWidth="1"/>
    <col min="3" max="3" width="14.109375" bestFit="1" customWidth="1"/>
    <col min="4" max="4" width="10.5546875" bestFit="1" customWidth="1"/>
    <col min="5" max="5" width="16.5546875" bestFit="1" customWidth="1"/>
    <col min="6" max="6" width="15.88671875" bestFit="1" customWidth="1"/>
    <col min="7" max="7" width="15.88671875" customWidth="1"/>
    <col min="8" max="8" width="12.88671875" bestFit="1" customWidth="1"/>
    <col min="9" max="9" width="11" bestFit="1" customWidth="1"/>
    <col min="10" max="10" width="11.33203125" bestFit="1" customWidth="1"/>
    <col min="11" max="11" width="18.109375" customWidth="1"/>
  </cols>
  <sheetData>
    <row r="1" spans="1:11" x14ac:dyDescent="0.3">
      <c r="A1" t="s">
        <v>33</v>
      </c>
      <c r="B1" t="s">
        <v>42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17</v>
      </c>
      <c r="I1" t="s">
        <v>18</v>
      </c>
      <c r="J1" t="s">
        <v>19</v>
      </c>
      <c r="K1" t="s">
        <v>64</v>
      </c>
    </row>
    <row r="2" spans="1:11" x14ac:dyDescent="0.3">
      <c r="A2" t="s">
        <v>72</v>
      </c>
      <c r="B2" t="s">
        <v>47</v>
      </c>
      <c r="C2">
        <v>0</v>
      </c>
      <c r="D2" t="b">
        <v>1</v>
      </c>
      <c r="E2">
        <v>5478.6764505058327</v>
      </c>
      <c r="F2">
        <v>4.147E-2</v>
      </c>
      <c r="G2" t="s">
        <v>39</v>
      </c>
      <c r="K2">
        <v>0</v>
      </c>
    </row>
    <row r="3" spans="1:11" x14ac:dyDescent="0.3">
      <c r="A3" t="s">
        <v>106</v>
      </c>
      <c r="B3" t="s">
        <v>104</v>
      </c>
      <c r="C3">
        <v>0</v>
      </c>
      <c r="D3" t="b">
        <v>1</v>
      </c>
      <c r="E3">
        <v>2640</v>
      </c>
      <c r="F3">
        <v>0</v>
      </c>
      <c r="G3" t="s">
        <v>39</v>
      </c>
      <c r="K3">
        <v>0</v>
      </c>
    </row>
  </sheetData>
  <phoneticPr fontId="1" type="noConversion"/>
  <dataValidations count="1">
    <dataValidation type="list" allowBlank="1" showInputMessage="1" showErrorMessage="1" sqref="D2:D5" xr:uid="{5D5BF415-E056-4F96-A602-1B73CD7FB1B5}">
      <formula1>"true, false"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C2844F-319A-44D1-B1DA-7F8A5F123464}">
          <x14:formula1>
            <xm:f>Drop_Down!$A$2:$A$13</xm:f>
          </x14:formula1>
          <xm:sqref>B2:B3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79B9-9C58-497E-9FD8-D3F2239E9BDC}">
  <dimension ref="A1:A23"/>
  <sheetViews>
    <sheetView topLeftCell="A10" workbookViewId="0">
      <selection activeCell="A24" sqref="A24"/>
    </sheetView>
  </sheetViews>
  <sheetFormatPr defaultRowHeight="14.4" x14ac:dyDescent="0.3"/>
  <cols>
    <col min="1" max="1" width="18.88671875" bestFit="1" customWidth="1"/>
  </cols>
  <sheetData>
    <row r="1" spans="1:1" x14ac:dyDescent="0.3">
      <c r="A1" t="s">
        <v>45</v>
      </c>
    </row>
    <row r="2" spans="1:1" x14ac:dyDescent="0.3">
      <c r="A2" t="s">
        <v>43</v>
      </c>
    </row>
    <row r="3" spans="1:1" x14ac:dyDescent="0.3">
      <c r="A3" t="s">
        <v>56</v>
      </c>
    </row>
    <row r="4" spans="1:1" x14ac:dyDescent="0.3">
      <c r="A4" t="s">
        <v>57</v>
      </c>
    </row>
    <row r="5" spans="1:1" x14ac:dyDescent="0.3">
      <c r="A5" t="s">
        <v>58</v>
      </c>
    </row>
    <row r="6" spans="1:1" x14ac:dyDescent="0.3">
      <c r="A6" t="s">
        <v>25</v>
      </c>
    </row>
    <row r="7" spans="1:1" x14ac:dyDescent="0.3">
      <c r="A7" t="s">
        <v>46</v>
      </c>
    </row>
    <row r="8" spans="1:1" x14ac:dyDescent="0.3">
      <c r="A8" t="s">
        <v>44</v>
      </c>
    </row>
    <row r="9" spans="1:1" x14ac:dyDescent="0.3">
      <c r="A9" t="s">
        <v>104</v>
      </c>
    </row>
    <row r="10" spans="1:1" x14ac:dyDescent="0.3">
      <c r="A10" t="s">
        <v>47</v>
      </c>
    </row>
    <row r="11" spans="1:1" x14ac:dyDescent="0.3">
      <c r="A11" t="s">
        <v>51</v>
      </c>
    </row>
    <row r="12" spans="1:1" x14ac:dyDescent="0.3">
      <c r="A12" t="s">
        <v>50</v>
      </c>
    </row>
    <row r="13" spans="1:1" x14ac:dyDescent="0.3">
      <c r="A13" t="s">
        <v>49</v>
      </c>
    </row>
    <row r="14" spans="1:1" x14ac:dyDescent="0.3">
      <c r="A14" t="s">
        <v>52</v>
      </c>
    </row>
    <row r="15" spans="1:1" x14ac:dyDescent="0.3">
      <c r="A15" t="s">
        <v>103</v>
      </c>
    </row>
    <row r="16" spans="1:1" x14ac:dyDescent="0.3">
      <c r="A16" t="s">
        <v>65</v>
      </c>
    </row>
    <row r="17" spans="1:1" x14ac:dyDescent="0.3">
      <c r="A17" t="s">
        <v>59</v>
      </c>
    </row>
    <row r="18" spans="1:1" x14ac:dyDescent="0.3">
      <c r="A18" t="s">
        <v>60</v>
      </c>
    </row>
    <row r="19" spans="1:1" x14ac:dyDescent="0.3">
      <c r="A19" t="s">
        <v>76</v>
      </c>
    </row>
    <row r="20" spans="1:1" x14ac:dyDescent="0.3">
      <c r="A20" t="s">
        <v>98</v>
      </c>
    </row>
    <row r="21" spans="1:1" x14ac:dyDescent="0.3">
      <c r="A21" t="s">
        <v>99</v>
      </c>
    </row>
    <row r="22" spans="1:1" x14ac:dyDescent="0.3">
      <c r="A22" t="s">
        <v>107</v>
      </c>
    </row>
    <row r="23" spans="1:1" x14ac:dyDescent="0.3">
      <c r="A23" t="s">
        <v>125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Units</vt:lpstr>
      <vt:lpstr>Unit_relations</vt:lpstr>
      <vt:lpstr>Connections</vt:lpstr>
      <vt:lpstr>Storages</vt:lpstr>
      <vt:lpstr>Drop_Down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Johannes Felipe Giehl</dc:creator>
  <cp:keywords/>
  <dc:description/>
  <cp:lastModifiedBy>Johannes Felipe Giehl</cp:lastModifiedBy>
  <cp:revision/>
  <dcterms:created xsi:type="dcterms:W3CDTF">2024-01-09T13:25:56Z</dcterms:created>
  <dcterms:modified xsi:type="dcterms:W3CDTF">2026-06-09T13:07:43Z</dcterms:modified>
  <cp:category/>
  <cp:contentStatus/>
</cp:coreProperties>
</file>