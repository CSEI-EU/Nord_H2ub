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methanol\"/>
    </mc:Choice>
  </mc:AlternateContent>
  <xr:revisionPtr revIDLastSave="0" documentId="13_ncr:1_{02EA1C38-4C41-4541-80E6-E63C9685B111}" xr6:coauthVersionLast="47" xr6:coauthVersionMax="47" xr10:uidLastSave="{00000000-0000-0000-0000-000000000000}"/>
  <bookViews>
    <workbookView xWindow="5070" yWindow="5070" windowWidth="38700" windowHeight="15345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</calcChain>
</file>

<file path=xl/sharedStrings.xml><?xml version="1.0" encoding="utf-8"?>
<sst xmlns="http://schemas.openxmlformats.org/spreadsheetml/2006/main" count="254" uniqueCount="128">
  <si>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</si>
  <si>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</si>
  <si>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</si>
  <si>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</si>
  <si>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</si>
  <si>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</si>
  <si>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</si>
  <si>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</si>
  <si>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</si>
  <si>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</si>
  <si>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</si>
  <si>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</si>
  <si>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</si>
  <si>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</si>
  <si>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</si>
  <si>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</si>
  <si>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</si>
  <si>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</si>
  <si>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</si>
  <si>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</si>
  <si>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</si>
  <si>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</si>
  <si>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</si>
  <si>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</si>
  <si>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</si>
  <si>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</si>
  <si>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48h</t>
  </si>
  <si>
    <t>Connection</t>
  </si>
  <si>
    <t>Connection_type</t>
  </si>
  <si>
    <t>Cap_Output1_max</t>
  </si>
  <si>
    <t>Efficency</t>
  </si>
  <si>
    <t>Relation_Out_In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</si>
  <si>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</si>
  <si>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</si>
  <si>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</si>
  <si>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</si>
  <si>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</si>
  <si>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</si>
  <si>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</si>
  <si>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</si>
  <si>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</si>
  <si>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</si>
  <si>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</si>
  <si>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</si>
  <si>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</si>
  <si>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</si>
  <si>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</si>
  <si>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</si>
  <si>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</si>
  <si>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</si>
  <si>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</si>
  <si>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</si>
  <si>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</si>
  <si>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</si>
  <si>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</si>
  <si>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</si>
  <si>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</si>
  <si>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</si>
  <si>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</si>
  <si>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</si>
  <si>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</si>
  <si>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</si>
  <si>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</si>
  <si>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</si>
  <si>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</si>
  <si>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</si>
  <si>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</si>
  <si>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</si>
  <si>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</si>
  <si>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</si>
  <si>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</si>
  <si>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</si>
  <si>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</si>
  <si>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pl_dh</t>
  </si>
  <si>
    <t>dh</t>
  </si>
  <si>
    <t>water</t>
  </si>
  <si>
    <t>steam</t>
  </si>
  <si>
    <t>steam_plant</t>
  </si>
  <si>
    <t>h2</t>
  </si>
  <si>
    <t>h2_st</t>
  </si>
  <si>
    <t>ch3oh_st</t>
  </si>
  <si>
    <t>ch3oh</t>
  </si>
  <si>
    <t>raw_ch3oh</t>
  </si>
  <si>
    <t>ch3oh_reactor</t>
  </si>
  <si>
    <t>dist_tower</t>
  </si>
  <si>
    <t>co2_vaporizer</t>
  </si>
  <si>
    <t>co2</t>
  </si>
  <si>
    <t>vaporized_co2</t>
  </si>
  <si>
    <t>pl_h2_st</t>
  </si>
  <si>
    <t>electrolyzer</t>
  </si>
  <si>
    <t>pl_ch3oh_st</t>
  </si>
  <si>
    <t>initial_units_on</t>
  </si>
  <si>
    <t>heat_low</t>
  </si>
  <si>
    <t>heat_high</t>
  </si>
  <si>
    <t>heat_split</t>
  </si>
  <si>
    <t>Auxilliary</t>
  </si>
  <si>
    <t>internal_heat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</si>
  <si>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</si>
  <si>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</si>
  <si>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</si>
  <si>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</si>
  <si>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</si>
  <si>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</si>
  <si>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</si>
  <si>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</si>
  <si>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</si>
  <si>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</si>
  <si>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</si>
  <si>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</si>
  <si>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</si>
  <si>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</si>
  <si>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</si>
  <si>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</si>
  <si>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</si>
  <si>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</si>
  <si>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</si>
  <si>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</si>
  <si>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</si>
  <si>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co2_source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</si>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</sst>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2" totalsRowShown="0">
  <autoFilter ref="A1:R12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26"/>
    <tableColumn id="39" xr3:uid="{BCE2350E-150B-4A7E-94BF-BB3BC7E31016}" name="demand" dataDxfId="25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2" totalsRowShown="0" headerRowDxfId="24" dataDxfId="22" headerRowBorderDxfId="23" tableBorderDxfId="21" totalsRowBorderDxfId="20">
  <autoFilter ref="A1:Q12" xr:uid="{C1664CC4-80CB-414D-BAFE-57FF9635D79F}"/>
  <tableColumns count="17">
    <tableColumn id="1" xr3:uid="{2BE3E317-773B-4E82-9035-69A43C6CB21B}" name="Unit" dataDxfId="19"/>
    <tableColumn id="2" xr3:uid="{22613EE0-390D-4B04-9A9B-6D5554D1C8ED}" name="Object_type" dataDxfId="18"/>
    <tableColumn id="3" xr3:uid="{54CD83B6-B63A-4ABD-99BD-9ED391BFB078}" name="Input1" dataDxfId="17"/>
    <tableColumn id="4" xr3:uid="{F183F72C-A42E-4046-9CA2-B23C4DD3765C}" name="Input2" dataDxfId="16"/>
    <tableColumn id="7" xr3:uid="{CA468CF3-FA3A-4DED-8C1A-ED8385FD2167}" name="Input3" dataDxfId="15"/>
    <tableColumn id="8" xr3:uid="{6C9174ED-453E-45B1-B2C9-DC69B7CB535A}" name="Input4" dataDxfId="14"/>
    <tableColumn id="5" xr3:uid="{513A63E4-7BE3-4AF5-AC5E-11EB4AF0D7AD}" name="Output1" dataDxfId="13"/>
    <tableColumn id="6" xr3:uid="{4623E738-60A2-497B-BD61-91A608129A61}" name="Output2" dataDxfId="12"/>
    <tableColumn id="9" xr3:uid="{5596B30B-5CDD-4E38-8C15-9C5F774E9B1F}" name="Output3" dataDxfId="11"/>
    <tableColumn id="10" xr3:uid="{CD6FCAF1-2543-4CF8-99F5-E24DBA2DEDC0}" name="Output4" dataDxfId="10"/>
    <tableColumn id="11" xr3:uid="{88F2DAC4-E2C3-4C34-B709-2523E8BE5B1F}" name="Relation_In1_In2" dataDxfId="9"/>
    <tableColumn id="14" xr3:uid="{3C190E97-FD9A-4F36-8EBF-717B1ECA00B1}" name="Relation_In1_In3" dataDxfId="8"/>
    <tableColumn id="15" xr3:uid="{043147D8-AE82-457E-8F19-EB4AE9D43B9E}" name="Relation_In1_In4" dataDxfId="7"/>
    <tableColumn id="12" xr3:uid="{A190E492-7FDF-403D-B8AF-17448A48E47F}" name="Relation_In1_Out1" dataDxfId="6"/>
    <tableColumn id="13" xr3:uid="{26E8D274-C985-4E20-8920-2BAC0A372552}" name="Relation_Out1_Out2" dataDxfId="5"/>
    <tableColumn id="16" xr3:uid="{4E0BCAE8-11F8-4D98-AECC-86C8A3C2B5C1}" name="Relation_Out1_Out3" dataDxfId="4"/>
    <tableColumn id="17" xr3:uid="{3C0369D5-4DD0-4B4B-9480-0C4665C0BC59}" name="Relation_Out1_Out4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1" totalsRowShown="0">
  <autoFilter ref="A1:AA11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_xlfn._xlws.FILTER(Connections!A2:A100,ISNUMBER(FIND("storage",Connections!A2:A100)))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19" totalsRowShown="0">
  <autoFilter ref="A1:A19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2"/>
  <sheetViews>
    <sheetView zoomScaleNormal="100" workbookViewId="0">
      <selection activeCell="F25" sqref="F25"/>
    </sheetView>
  </sheetViews>
  <sheetFormatPr defaultRowHeight="15" x14ac:dyDescent="0.25"/>
  <cols>
    <col min="1" max="1" width="13.7109375" customWidth="1"/>
    <col min="2" max="2" width="19.28515625" bestFit="1" customWidth="1"/>
    <col min="3" max="18" width="10.5703125" customWidth="1"/>
  </cols>
  <sheetData>
    <row r="1" spans="1:18" x14ac:dyDescent="0.25">
      <c r="A1" t="s">
        <v>0</v>
      </c>
      <c r="B1" t="s">
        <v>43</v>
      </c>
      <c r="C1" t="s">
        <v>108</v>
      </c>
      <c r="D1" t="s">
        <v>12</v>
      </c>
      <c r="E1" t="s">
        <v>13</v>
      </c>
      <c r="F1" t="s">
        <v>113</v>
      </c>
      <c r="G1" t="s">
        <v>114</v>
      </c>
      <c r="H1" t="s">
        <v>112</v>
      </c>
      <c r="I1" t="s">
        <v>111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91</v>
      </c>
    </row>
    <row r="2" spans="1:18" x14ac:dyDescent="0.25">
      <c r="A2" t="s">
        <v>69</v>
      </c>
      <c r="B2" t="s">
        <v>44</v>
      </c>
      <c r="C2" t="s">
        <v>119</v>
      </c>
      <c r="P2" s="1"/>
      <c r="Q2" s="1"/>
    </row>
    <row r="3" spans="1:18" x14ac:dyDescent="0.25">
      <c r="A3" t="s">
        <v>109</v>
      </c>
      <c r="B3" t="s">
        <v>62</v>
      </c>
      <c r="C3" t="s">
        <v>120</v>
      </c>
      <c r="P3" s="1"/>
      <c r="Q3" s="1"/>
    </row>
    <row r="4" spans="1:18" x14ac:dyDescent="0.25">
      <c r="A4" t="s">
        <v>110</v>
      </c>
      <c r="B4" t="s">
        <v>63</v>
      </c>
      <c r="C4" t="s">
        <v>121</v>
      </c>
      <c r="P4" s="1"/>
      <c r="Q4" s="1"/>
    </row>
    <row r="5" spans="1:18" x14ac:dyDescent="0.25">
      <c r="A5" t="s">
        <v>89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t="s">
        <v>85</v>
      </c>
      <c r="B6" t="s">
        <v>25</v>
      </c>
      <c r="C6" t="s">
        <v>87</v>
      </c>
      <c r="P6" s="1"/>
      <c r="Q6" s="1"/>
    </row>
    <row r="7" spans="1:18" x14ac:dyDescent="0.25">
      <c r="A7" t="s">
        <v>84</v>
      </c>
      <c r="B7" t="s">
        <v>68</v>
      </c>
      <c r="C7" t="s">
        <v>81</v>
      </c>
      <c r="P7" s="1" t="s">
        <v>42</v>
      </c>
      <c r="Q7" s="2">
        <v>20.192799999999998</v>
      </c>
    </row>
    <row r="8" spans="1:18" x14ac:dyDescent="0.25">
      <c r="A8" t="s">
        <v>83</v>
      </c>
      <c r="B8" t="s">
        <v>47</v>
      </c>
      <c r="C8" t="s">
        <v>82</v>
      </c>
      <c r="D8">
        <v>0.7</v>
      </c>
      <c r="E8" t="s">
        <v>26</v>
      </c>
      <c r="F8">
        <v>0.5</v>
      </c>
      <c r="G8">
        <v>0.5</v>
      </c>
      <c r="H8">
        <v>0.5</v>
      </c>
      <c r="I8">
        <v>0.5</v>
      </c>
      <c r="M8">
        <v>4.45</v>
      </c>
      <c r="P8" s="1"/>
      <c r="Q8" s="1"/>
      <c r="R8">
        <v>1</v>
      </c>
    </row>
    <row r="9" spans="1:18" x14ac:dyDescent="0.25">
      <c r="A9" t="s">
        <v>77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25">
      <c r="A10" t="s">
        <v>115</v>
      </c>
      <c r="B10" t="s">
        <v>95</v>
      </c>
      <c r="C10" t="s">
        <v>75</v>
      </c>
      <c r="P10" s="1"/>
      <c r="Q10" s="1"/>
    </row>
    <row r="11" spans="1:18" x14ac:dyDescent="0.25">
      <c r="A11" t="s">
        <v>117</v>
      </c>
      <c r="B11" t="s">
        <v>95</v>
      </c>
      <c r="C11" t="s">
        <v>86</v>
      </c>
      <c r="P11" s="1"/>
      <c r="Q11" s="1"/>
    </row>
    <row r="12" spans="1:18" x14ac:dyDescent="0.25">
      <c r="A12" s="6" t="s">
        <v>94</v>
      </c>
      <c r="B12" s="6" t="s">
        <v>95</v>
      </c>
      <c r="C12" t="s">
        <v>93</v>
      </c>
      <c r="P12" s="1"/>
      <c r="Q12" s="1"/>
    </row>
  </sheetData>
  <phoneticPr fontId="1" type="noConversion"/>
  <dataValidations count="1">
    <dataValidation type="list" allowBlank="1" showInputMessage="1" showErrorMessage="1" sqref="P2:P12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2"/>
  <sheetViews>
    <sheetView workbookViewId="0">
      <selection activeCell="I23" sqref="I23"/>
    </sheetView>
  </sheetViews>
  <sheetFormatPr defaultRowHeight="15" x14ac:dyDescent="0.25"/>
  <cols>
    <col min="1" max="1" width="14.7109375" customWidth="1"/>
    <col min="2" max="2" width="13.28515625" customWidth="1"/>
    <col min="7" max="7" width="25.7109375" bestFit="1" customWidth="1"/>
    <col min="8" max="8" width="10.5703125" bestFit="1" customWidth="1"/>
  </cols>
  <sheetData>
    <row r="1" spans="1:17" x14ac:dyDescent="0.25">
      <c r="A1" s="5" t="s">
        <v>0</v>
      </c>
      <c r="B1" s="5" t="s">
        <v>43</v>
      </c>
      <c r="C1" s="5" t="s">
        <v>1</v>
      </c>
      <c r="D1" s="5" t="s">
        <v>2</v>
      </c>
      <c r="E1" s="5" t="s">
        <v>97</v>
      </c>
      <c r="F1" s="5" t="s">
        <v>98</v>
      </c>
      <c r="G1" s="5" t="s">
        <v>3</v>
      </c>
      <c r="H1" s="5" t="s">
        <v>4</v>
      </c>
      <c r="I1" s="5" t="s">
        <v>99</v>
      </c>
      <c r="J1" s="5" t="s">
        <v>100</v>
      </c>
      <c r="K1" s="5" t="s">
        <v>101</v>
      </c>
      <c r="L1" s="5" t="s">
        <v>102</v>
      </c>
      <c r="M1" s="5" t="s">
        <v>103</v>
      </c>
      <c r="N1" s="5" t="s">
        <v>104</v>
      </c>
      <c r="O1" s="5" t="s">
        <v>105</v>
      </c>
      <c r="P1" s="5" t="s">
        <v>106</v>
      </c>
      <c r="Q1" s="5" t="s">
        <v>107</v>
      </c>
    </row>
    <row r="2" spans="1:17" x14ac:dyDescent="0.25">
      <c r="A2" s="3" t="s">
        <v>69</v>
      </c>
      <c r="B2" s="3" t="s">
        <v>44</v>
      </c>
      <c r="C2" s="3"/>
      <c r="D2" s="3"/>
      <c r="E2" s="3"/>
      <c r="F2" s="3"/>
      <c r="G2" t="s">
        <v>119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4" t="s">
        <v>109</v>
      </c>
      <c r="B3" s="4" t="s">
        <v>62</v>
      </c>
      <c r="C3" s="4"/>
      <c r="D3" s="4"/>
      <c r="E3" s="4"/>
      <c r="F3" s="4"/>
      <c r="G3" t="s">
        <v>120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t="s">
        <v>110</v>
      </c>
      <c r="B4" t="s">
        <v>63</v>
      </c>
      <c r="C4" s="3"/>
      <c r="D4" s="3"/>
      <c r="E4" s="3"/>
      <c r="F4" s="3"/>
      <c r="G4" t="s">
        <v>121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4" t="s">
        <v>89</v>
      </c>
      <c r="B5" s="4" t="s">
        <v>60</v>
      </c>
      <c r="C5" s="4" t="s">
        <v>70</v>
      </c>
      <c r="D5" s="4" t="s">
        <v>75</v>
      </c>
      <c r="E5" s="4"/>
      <c r="F5" s="4"/>
      <c r="G5" s="4" t="s">
        <v>78</v>
      </c>
      <c r="H5" s="4" t="s">
        <v>92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25">
      <c r="A6" s="3" t="s">
        <v>85</v>
      </c>
      <c r="B6" s="3" t="s">
        <v>25</v>
      </c>
      <c r="C6" s="3" t="s">
        <v>70</v>
      </c>
      <c r="D6" s="3" t="s">
        <v>86</v>
      </c>
      <c r="E6" s="3"/>
      <c r="F6" s="3"/>
      <c r="G6" s="3" t="s">
        <v>87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25">
      <c r="A7" s="4" t="s">
        <v>84</v>
      </c>
      <c r="B7" s="4" t="s">
        <v>68</v>
      </c>
      <c r="C7" s="4" t="s">
        <v>82</v>
      </c>
      <c r="D7" s="4" t="s">
        <v>76</v>
      </c>
      <c r="E7" s="4"/>
      <c r="F7" s="4"/>
      <c r="G7" s="4" t="s">
        <v>81</v>
      </c>
      <c r="H7" s="4"/>
      <c r="I7" s="4"/>
      <c r="J7" s="4"/>
      <c r="K7" s="4">
        <v>17.277901743828668</v>
      </c>
      <c r="L7" s="4"/>
      <c r="M7" s="4"/>
      <c r="N7" s="4">
        <f>1/0.795</f>
        <v>1.2578616352201257</v>
      </c>
      <c r="O7" s="4"/>
      <c r="P7" s="4"/>
      <c r="Q7" s="4"/>
    </row>
    <row r="8" spans="1:17" x14ac:dyDescent="0.25">
      <c r="A8" s="3" t="s">
        <v>83</v>
      </c>
      <c r="B8" s="3" t="s">
        <v>47</v>
      </c>
      <c r="C8" s="3" t="s">
        <v>78</v>
      </c>
      <c r="D8" s="3" t="s">
        <v>87</v>
      </c>
      <c r="E8" s="3"/>
      <c r="F8" s="3"/>
      <c r="G8" s="3" t="s">
        <v>82</v>
      </c>
      <c r="H8" s="3" t="s">
        <v>93</v>
      </c>
      <c r="I8" s="3"/>
      <c r="J8" s="3"/>
      <c r="K8" s="3">
        <v>5.1734967222388608</v>
      </c>
      <c r="L8" s="3"/>
      <c r="M8" s="3"/>
      <c r="N8" s="3">
        <f>1/0.96</f>
        <v>1.0416666666666667</v>
      </c>
      <c r="O8" s="3">
        <v>4.32</v>
      </c>
      <c r="P8" s="3"/>
      <c r="Q8" s="3"/>
    </row>
    <row r="9" spans="1:17" x14ac:dyDescent="0.25">
      <c r="A9" s="4" t="s">
        <v>77</v>
      </c>
      <c r="B9" s="4" t="s">
        <v>45</v>
      </c>
      <c r="C9" s="4" t="s">
        <v>70</v>
      </c>
      <c r="D9" s="4" t="s">
        <v>75</v>
      </c>
      <c r="E9" s="4"/>
      <c r="F9" s="4"/>
      <c r="G9" s="4" t="s">
        <v>76</v>
      </c>
      <c r="H9" s="4"/>
      <c r="I9" s="4"/>
      <c r="J9" s="4"/>
      <c r="K9" s="4">
        <v>7.2437800000000002E-4</v>
      </c>
      <c r="L9" s="4"/>
      <c r="M9" s="4"/>
      <c r="N9" s="4">
        <v>0.99</v>
      </c>
      <c r="O9" s="4"/>
      <c r="P9" s="4"/>
      <c r="Q9" s="4"/>
    </row>
    <row r="10" spans="1:17" x14ac:dyDescent="0.25">
      <c r="A10" s="6" t="s">
        <v>94</v>
      </c>
      <c r="B10" s="6" t="s">
        <v>95</v>
      </c>
      <c r="C10" s="6" t="s">
        <v>93</v>
      </c>
      <c r="D10" s="6"/>
      <c r="E10" s="6"/>
      <c r="F10" s="6"/>
      <c r="G10" s="6" t="s">
        <v>96</v>
      </c>
      <c r="H10" s="6" t="s">
        <v>92</v>
      </c>
      <c r="I10" s="6"/>
      <c r="J10" s="6"/>
      <c r="K10" s="6"/>
      <c r="L10" s="6"/>
      <c r="M10" s="6"/>
      <c r="N10" s="6"/>
      <c r="O10" s="6">
        <v>1</v>
      </c>
      <c r="P10" s="6"/>
      <c r="Q10" s="6"/>
    </row>
    <row r="11" spans="1:17" x14ac:dyDescent="0.25">
      <c r="A11" s="4" t="s">
        <v>115</v>
      </c>
      <c r="B11" s="4" t="s">
        <v>95</v>
      </c>
      <c r="C11" s="4" t="s">
        <v>116</v>
      </c>
      <c r="D11" s="4"/>
      <c r="E11" s="4"/>
      <c r="F11" s="4"/>
      <c r="G11" s="4" t="s">
        <v>75</v>
      </c>
      <c r="H11" s="4"/>
      <c r="I11" s="4"/>
      <c r="J11" s="4"/>
      <c r="K11" s="4"/>
      <c r="L11" s="4"/>
      <c r="M11" s="4"/>
      <c r="N11" s="4">
        <v>1</v>
      </c>
      <c r="O11" s="4"/>
      <c r="P11" s="4"/>
      <c r="Q11" s="4"/>
    </row>
    <row r="12" spans="1:17" x14ac:dyDescent="0.25">
      <c r="A12" s="6" t="s">
        <v>117</v>
      </c>
      <c r="B12" s="6" t="s">
        <v>95</v>
      </c>
      <c r="C12" s="6" t="s">
        <v>118</v>
      </c>
      <c r="D12" s="6"/>
      <c r="E12" s="6"/>
      <c r="F12" s="6"/>
      <c r="G12" s="6" t="s">
        <v>86</v>
      </c>
      <c r="H12" s="6"/>
      <c r="I12" s="6"/>
      <c r="J12" s="6"/>
      <c r="K12" s="6"/>
      <c r="L12" s="6"/>
      <c r="M12" s="6"/>
      <c r="N12" s="6">
        <v>1</v>
      </c>
      <c r="O12" s="6"/>
      <c r="P12" s="6"/>
      <c r="Q12" s="6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1"/>
  <sheetViews>
    <sheetView tabSelected="1" workbookViewId="0">
      <selection activeCell="C11" sqref="C11"/>
    </sheetView>
  </sheetViews>
  <sheetFormatPr defaultRowHeight="15" x14ac:dyDescent="0.25"/>
  <cols>
    <col min="1" max="1" width="27.42578125" bestFit="1" customWidth="1"/>
    <col min="2" max="2" width="18.28515625" bestFit="1" customWidth="1"/>
    <col min="3" max="5" width="25.7109375" bestFit="1" customWidth="1"/>
    <col min="6" max="6" width="17" bestFit="1" customWidth="1"/>
    <col min="7" max="7" width="35.28515625" bestFit="1" customWidth="1"/>
    <col min="8" max="8" width="15.28515625" customWidth="1"/>
    <col min="9" max="9" width="17.42578125" customWidth="1"/>
    <col min="10" max="10" width="15.42578125" customWidth="1"/>
    <col min="11" max="11" width="17.42578125" bestFit="1" customWidth="1"/>
    <col min="12" max="12" width="15.42578125" customWidth="1"/>
    <col min="13" max="13" width="19" customWidth="1"/>
    <col min="14" max="14" width="15.42578125" customWidth="1"/>
    <col min="15" max="15" width="19" customWidth="1"/>
    <col min="16" max="16" width="10.5703125" customWidth="1"/>
    <col min="17" max="17" width="15.5703125" bestFit="1" customWidth="1"/>
    <col min="18" max="18" width="17.28515625" bestFit="1" customWidth="1"/>
    <col min="19" max="19" width="18.7109375" bestFit="1" customWidth="1"/>
    <col min="20" max="20" width="18.7109375" customWidth="1"/>
    <col min="21" max="21" width="12.7109375" customWidth="1"/>
    <col min="22" max="23" width="17.7109375" bestFit="1" customWidth="1"/>
    <col min="24" max="25" width="19.42578125" bestFit="1" customWidth="1"/>
    <col min="26" max="26" width="35.28515625" bestFit="1" customWidth="1"/>
    <col min="27" max="27" width="24.28515625" bestFit="1" customWidth="1"/>
  </cols>
  <sheetData>
    <row r="1" spans="1:27" x14ac:dyDescent="0.25">
      <c r="A1" t="s">
        <v>27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29</v>
      </c>
      <c r="N1" t="s">
        <v>10</v>
      </c>
      <c r="O1" t="s">
        <v>11</v>
      </c>
      <c r="P1" t="s">
        <v>30</v>
      </c>
      <c r="Q1" t="s">
        <v>14</v>
      </c>
      <c r="R1" t="s">
        <v>15</v>
      </c>
      <c r="S1" t="s">
        <v>16</v>
      </c>
      <c r="T1" t="s">
        <v>31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25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32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25">
      <c r="A3" t="s">
        <v>88</v>
      </c>
      <c r="B3" t="s">
        <v>52</v>
      </c>
      <c r="C3" t="s">
        <v>78</v>
      </c>
      <c r="D3" t="s">
        <v>79</v>
      </c>
      <c r="E3" t="s">
        <v>79</v>
      </c>
      <c r="F3" t="s">
        <v>78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25">
      <c r="A4" t="s">
        <v>90</v>
      </c>
      <c r="B4" t="s">
        <v>55</v>
      </c>
      <c r="C4" t="s">
        <v>81</v>
      </c>
      <c r="D4" t="s">
        <v>80</v>
      </c>
      <c r="E4" t="s">
        <v>80</v>
      </c>
      <c r="F4" t="s">
        <v>81</v>
      </c>
      <c r="G4" t="s">
        <v>32</v>
      </c>
      <c r="H4">
        <v>1000</v>
      </c>
      <c r="J4">
        <v>1000</v>
      </c>
      <c r="K4">
        <v>1000</v>
      </c>
      <c r="L4">
        <v>1000</v>
      </c>
      <c r="M4">
        <v>1000</v>
      </c>
      <c r="N4">
        <v>1000</v>
      </c>
      <c r="R4">
        <v>0.99983999999999995</v>
      </c>
      <c r="T4">
        <v>0.99983999999999995</v>
      </c>
      <c r="U4">
        <v>1.0958904109589041E-2</v>
      </c>
      <c r="Z4" t="s">
        <v>57</v>
      </c>
      <c r="AA4">
        <v>1</v>
      </c>
    </row>
    <row r="5" spans="1:27" x14ac:dyDescent="0.25">
      <c r="A5" t="s">
        <v>73</v>
      </c>
      <c r="B5" t="s">
        <v>54</v>
      </c>
      <c r="C5" t="s">
        <v>92</v>
      </c>
      <c r="E5" t="s">
        <v>74</v>
      </c>
      <c r="G5" t="s">
        <v>32</v>
      </c>
      <c r="H5">
        <v>1000</v>
      </c>
      <c r="I5">
        <v>1000</v>
      </c>
      <c r="L5">
        <v>1000</v>
      </c>
      <c r="M5">
        <v>1000</v>
      </c>
      <c r="T5">
        <v>1</v>
      </c>
      <c r="Z5" t="s">
        <v>58</v>
      </c>
      <c r="AA5">
        <v>1</v>
      </c>
    </row>
    <row r="6" spans="1:27" x14ac:dyDescent="0.25">
      <c r="A6" t="s">
        <v>122</v>
      </c>
      <c r="B6" t="s">
        <v>53</v>
      </c>
      <c r="C6" t="s">
        <v>72</v>
      </c>
      <c r="D6" t="s">
        <v>119</v>
      </c>
      <c r="E6" t="s">
        <v>119</v>
      </c>
      <c r="F6" t="s">
        <v>72</v>
      </c>
      <c r="G6" t="s">
        <v>32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R6">
        <v>1</v>
      </c>
      <c r="T6">
        <v>1</v>
      </c>
      <c r="Z6" t="s">
        <v>58</v>
      </c>
      <c r="AA6">
        <v>1</v>
      </c>
    </row>
    <row r="7" spans="1:27" x14ac:dyDescent="0.25">
      <c r="A7" t="s">
        <v>123</v>
      </c>
      <c r="B7" t="s">
        <v>53</v>
      </c>
      <c r="C7" t="s">
        <v>119</v>
      </c>
      <c r="E7" t="s">
        <v>70</v>
      </c>
      <c r="G7" t="s">
        <v>32</v>
      </c>
      <c r="H7">
        <v>1000</v>
      </c>
      <c r="I7">
        <v>1000</v>
      </c>
      <c r="L7">
        <v>1000</v>
      </c>
      <c r="M7">
        <v>1000</v>
      </c>
      <c r="T7">
        <v>1</v>
      </c>
      <c r="Z7" t="s">
        <v>58</v>
      </c>
      <c r="AA7">
        <v>1</v>
      </c>
    </row>
    <row r="8" spans="1:27" x14ac:dyDescent="0.25">
      <c r="A8" t="s">
        <v>124</v>
      </c>
      <c r="B8" t="s">
        <v>53</v>
      </c>
      <c r="C8" t="s">
        <v>72</v>
      </c>
      <c r="D8" t="s">
        <v>120</v>
      </c>
      <c r="E8" t="s">
        <v>120</v>
      </c>
      <c r="F8" t="s">
        <v>72</v>
      </c>
      <c r="G8" t="s">
        <v>32</v>
      </c>
      <c r="H8">
        <v>1000</v>
      </c>
      <c r="I8">
        <v>1000</v>
      </c>
      <c r="J8">
        <v>1000</v>
      </c>
      <c r="K8">
        <v>1000</v>
      </c>
      <c r="L8">
        <v>1000</v>
      </c>
      <c r="M8">
        <v>1000</v>
      </c>
      <c r="N8">
        <v>1000</v>
      </c>
      <c r="O8">
        <v>1000</v>
      </c>
      <c r="R8">
        <v>1</v>
      </c>
      <c r="T8">
        <v>1</v>
      </c>
      <c r="Z8" t="s">
        <v>58</v>
      </c>
      <c r="AA8">
        <v>1</v>
      </c>
    </row>
    <row r="9" spans="1:27" x14ac:dyDescent="0.25">
      <c r="A9" t="s">
        <v>125</v>
      </c>
      <c r="B9" t="s">
        <v>53</v>
      </c>
      <c r="C9" t="s">
        <v>120</v>
      </c>
      <c r="E9" t="s">
        <v>70</v>
      </c>
      <c r="G9" t="s">
        <v>32</v>
      </c>
      <c r="H9">
        <v>1000</v>
      </c>
      <c r="I9">
        <v>1000</v>
      </c>
      <c r="L9">
        <v>1000</v>
      </c>
      <c r="M9">
        <v>1000</v>
      </c>
      <c r="T9">
        <v>1</v>
      </c>
      <c r="Z9" t="s">
        <v>58</v>
      </c>
      <c r="AA9">
        <v>1</v>
      </c>
    </row>
    <row r="10" spans="1:27" x14ac:dyDescent="0.25">
      <c r="A10" t="s">
        <v>126</v>
      </c>
      <c r="B10" t="s">
        <v>53</v>
      </c>
      <c r="C10" t="s">
        <v>72</v>
      </c>
      <c r="D10" t="s">
        <v>121</v>
      </c>
      <c r="E10" t="s">
        <v>121</v>
      </c>
      <c r="F10" t="s">
        <v>72</v>
      </c>
      <c r="G10" t="s">
        <v>32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R10">
        <v>1</v>
      </c>
      <c r="T10">
        <v>1</v>
      </c>
      <c r="Z10" t="s">
        <v>58</v>
      </c>
      <c r="AA10">
        <v>1</v>
      </c>
    </row>
    <row r="11" spans="1:27" x14ac:dyDescent="0.25">
      <c r="A11" t="s">
        <v>127</v>
      </c>
      <c r="B11" t="s">
        <v>53</v>
      </c>
      <c r="C11" t="s">
        <v>121</v>
      </c>
      <c r="E11" t="s">
        <v>70</v>
      </c>
      <c r="G11" t="s">
        <v>32</v>
      </c>
      <c r="H11">
        <v>1000</v>
      </c>
      <c r="I11">
        <v>1000</v>
      </c>
      <c r="L11">
        <v>1000</v>
      </c>
      <c r="M11">
        <v>1000</v>
      </c>
      <c r="T11">
        <v>1</v>
      </c>
      <c r="Z11" t="s">
        <v>58</v>
      </c>
      <c r="AA11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/>
  </sheetViews>
  <sheetFormatPr defaultRowHeight="15" x14ac:dyDescent="0.25"/>
  <cols>
    <col min="1" max="1" width="9.42578125" bestFit="1" customWidth="1"/>
    <col min="2" max="2" width="16.28515625" bestFit="1" customWidth="1"/>
    <col min="3" max="3" width="14.28515625" bestFit="1" customWidth="1"/>
    <col min="4" max="4" width="10.5703125" bestFit="1" customWidth="1"/>
    <col min="5" max="5" width="16.5703125" bestFit="1" customWidth="1"/>
    <col min="6" max="6" width="15.7109375" bestFit="1" customWidth="1"/>
    <col min="7" max="7" width="15.7109375" customWidth="1"/>
    <col min="8" max="8" width="12.7109375" bestFit="1" customWidth="1"/>
    <col min="9" max="9" width="11" bestFit="1" customWidth="1"/>
    <col min="10" max="10" width="11.28515625" bestFit="1" customWidth="1"/>
    <col min="11" max="11" width="18.28515625" customWidth="1"/>
  </cols>
  <sheetData>
    <row r="1" spans="1:11" x14ac:dyDescent="0.25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25">
      <c r="A2" t="s">
        <v>79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25">
      <c r="A3" t="s">
        <v>80</v>
      </c>
      <c r="B3" t="s">
        <v>48</v>
      </c>
      <c r="C3">
        <v>0</v>
      </c>
      <c r="D3" t="b">
        <v>1</v>
      </c>
      <c r="E3">
        <v>2640</v>
      </c>
      <c r="F3">
        <v>0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2:D5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19"/>
  <sheetViews>
    <sheetView workbookViewId="0">
      <selection activeCell="A20" sqref="A20"/>
    </sheetView>
  </sheetViews>
  <sheetFormatPr defaultRowHeight="15" x14ac:dyDescent="0.25"/>
  <cols>
    <col min="1" max="1" width="18.85546875" bestFit="1" customWidth="1"/>
  </cols>
  <sheetData>
    <row r="1" spans="1:1" x14ac:dyDescent="0.25">
      <c r="A1" t="s">
        <v>46</v>
      </c>
    </row>
    <row r="2" spans="1:1" x14ac:dyDescent="0.25">
      <c r="A2" t="s">
        <v>44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25</v>
      </c>
    </row>
    <row r="7" spans="1:1" x14ac:dyDescent="0.25">
      <c r="A7" t="s">
        <v>47</v>
      </c>
    </row>
    <row r="8" spans="1:1" x14ac:dyDescent="0.25">
      <c r="A8" t="s">
        <v>45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53</v>
      </c>
    </row>
    <row r="12" spans="1:1" x14ac:dyDescent="0.25">
      <c r="A12" t="s">
        <v>52</v>
      </c>
    </row>
    <row r="13" spans="1:1" x14ac:dyDescent="0.25">
      <c r="A13" t="s">
        <v>51</v>
      </c>
    </row>
    <row r="14" spans="1:1" x14ac:dyDescent="0.25">
      <c r="A14" t="s">
        <v>54</v>
      </c>
    </row>
    <row r="15" spans="1:1" x14ac:dyDescent="0.25">
      <c r="A15" t="s">
        <v>55</v>
      </c>
    </row>
    <row r="16" spans="1:1" x14ac:dyDescent="0.25">
      <c r="A16" t="s">
        <v>68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Kacper Rokosz</cp:lastModifiedBy>
  <cp:revision/>
  <dcterms:created xsi:type="dcterms:W3CDTF">2024-01-09T13:25:56Z</dcterms:created>
  <dcterms:modified xsi:type="dcterms:W3CDTF">2026-02-25T13:31:12Z</dcterms:modified>
  <cp:category/>
  <cp:contentStatus/>
</cp:coreProperties>
</file>