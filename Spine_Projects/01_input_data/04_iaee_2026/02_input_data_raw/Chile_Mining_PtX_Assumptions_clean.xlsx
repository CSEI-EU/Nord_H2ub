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fg.eco\Downloads\"/>
    </mc:Choice>
  </mc:AlternateContent>
  <xr:revisionPtr revIDLastSave="0" documentId="8_{237EEF1D-F392-44F9-B0AA-583EB69A50A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put Parameters" sheetId="6" r:id="rId1"/>
    <sheet name="Parameters" sheetId="1" r:id="rId2"/>
    <sheet name="Demand Calculations" sheetId="2" r:id="rId3"/>
    <sheet name="CO2 Calculations" sheetId="3" r:id="rId4"/>
    <sheet name="Scenarios &amp; Assumptions" sheetId="4" r:id="rId5"/>
    <sheet name="Sources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6" l="1"/>
  <c r="C9" i="6"/>
  <c r="C8" i="6"/>
  <c r="C7" i="6"/>
  <c r="B30" i="3"/>
  <c r="B29" i="3"/>
  <c r="B28" i="3"/>
  <c r="B27" i="3"/>
  <c r="B26" i="3"/>
  <c r="B25" i="3"/>
  <c r="B15" i="3"/>
  <c r="B16" i="3" s="1"/>
  <c r="C6" i="6"/>
  <c r="C5" i="6"/>
  <c r="B12" i="2"/>
  <c r="B34" i="2"/>
  <c r="B33" i="2"/>
  <c r="B16" i="2"/>
  <c r="B19" i="2" s="1"/>
  <c r="B21" i="2" s="1"/>
  <c r="B6" i="2"/>
  <c r="B9" i="2" s="1"/>
  <c r="B11" i="2" s="1"/>
  <c r="B10" i="2" s="1"/>
  <c r="B41" i="3"/>
  <c r="B40" i="3"/>
  <c r="B39" i="3"/>
  <c r="B24" i="3"/>
  <c r="B23" i="3"/>
  <c r="B22" i="3"/>
  <c r="B6" i="3"/>
  <c r="B8" i="3" s="1"/>
  <c r="B9" i="3" s="1"/>
  <c r="B22" i="2" l="1"/>
  <c r="B20" i="2"/>
  <c r="B31" i="3"/>
</calcChain>
</file>

<file path=xl/sharedStrings.xml><?xml version="1.0" encoding="utf-8"?>
<sst xmlns="http://schemas.openxmlformats.org/spreadsheetml/2006/main" count="607" uniqueCount="304">
  <si>
    <t>Final model values used across the workbook; calculations are shown on the following sheets.</t>
  </si>
  <si>
    <t>Category</t>
  </si>
  <si>
    <t>Parameter</t>
  </si>
  <si>
    <t>Value</t>
  </si>
  <si>
    <t>Unit</t>
  </si>
  <si>
    <t>Type</t>
  </si>
  <si>
    <t>Source ID</t>
  </si>
  <si>
    <t>Notes</t>
  </si>
  <si>
    <t>Demand</t>
  </si>
  <si>
    <t>Methanol demand for mining trucks</t>
  </si>
  <si>
    <t>kt/a</t>
  </si>
  <si>
    <t>Assumption</t>
  </si>
  <si>
    <t>S8</t>
  </si>
  <si>
    <t>Fixed 2050 truck-fleet demand used as model input.</t>
  </si>
  <si>
    <t>Ammonia demand for mining cluster</t>
  </si>
  <si>
    <t>Literature</t>
  </si>
  <si>
    <t>S7</t>
  </si>
  <si>
    <t>Regional mining-cluster demand (not mine-only).</t>
  </si>
  <si>
    <t>Local use share</t>
  </si>
  <si>
    <t>%</t>
  </si>
  <si>
    <t>Applies equally to ammonia and methanol.</t>
  </si>
  <si>
    <t>Export share</t>
  </si>
  <si>
    <t>CO2</t>
  </si>
  <si>
    <t>Methane / natural-gas emission factor</t>
  </si>
  <si>
    <t>tCO2/MWh</t>
  </si>
  <si>
    <t>S1</t>
  </si>
  <si>
    <t>BAFA Erdgas factor, used as methane proxy.</t>
  </si>
  <si>
    <t>Altonorte non-renewable fuel use</t>
  </si>
  <si>
    <t>MJ/a</t>
  </si>
  <si>
    <t>S2</t>
  </si>
  <si>
    <t>Aggregated fossil fuel use reported for 2024.</t>
  </si>
  <si>
    <t>Altonorte CO2 output</t>
  </si>
  <si>
    <t>kt CO2/a</t>
  </si>
  <si>
    <t>Calculated</t>
  </si>
  <si>
    <t>S1+S2</t>
  </si>
  <si>
    <t>Fuel use converted with the BAFA methane/natural-gas factor.</t>
  </si>
  <si>
    <t>INACESA lime capacity</t>
  </si>
  <si>
    <t>t/a</t>
  </si>
  <si>
    <t>User note</t>
  </si>
  <si>
    <t>Installed annual capacity.</t>
  </si>
  <si>
    <t>INACESA lime utilisation</t>
  </si>
  <si>
    <t>Conservative operating assumption.</t>
  </si>
  <si>
    <t>Lime emission factor</t>
  </si>
  <si>
    <t>tCO2/t</t>
  </si>
  <si>
    <t>S6</t>
  </si>
  <si>
    <t>Proxy factor for calcination emissions.</t>
  </si>
  <si>
    <t>INACESA lime CO2</t>
  </si>
  <si>
    <t>S8+S6</t>
  </si>
  <si>
    <t>Capacity × utilisation × emission factor.</t>
  </si>
  <si>
    <t>INACESA cement capacity</t>
  </si>
  <si>
    <t>INACESA cement utilisation (base)</t>
  </si>
  <si>
    <t>Midpoint of the 40-50% estimate.</t>
  </si>
  <si>
    <t>Cement emission factor</t>
  </si>
  <si>
    <t>S5</t>
  </si>
  <si>
    <t>Simplified proxy factor.</t>
  </si>
  <si>
    <t>INACESA cement CO2 (base)</t>
  </si>
  <si>
    <t>S8+S5</t>
  </si>
  <si>
    <t>Total regional CO2 availability (base)</t>
  </si>
  <si>
    <t>S2+S8</t>
  </si>
  <si>
    <t>Altonorte + INACESA lime + INACESA cement (base case).</t>
  </si>
  <si>
    <t>CO2 capture cost</t>
  </si>
  <si>
    <t>EUR/tCO2</t>
  </si>
  <si>
    <t>S4</t>
  </si>
  <si>
    <t>Base capture-only assumption.</t>
  </si>
  <si>
    <t>CO2 transport cost (20 km)</t>
  </si>
  <si>
    <t>S3</t>
  </si>
  <si>
    <t>Simplified base value for short pipeline transport.</t>
  </si>
  <si>
    <t>CO2 transport cost (70 km)</t>
  </si>
  <si>
    <t>Simplified base value for mid-distance transport.</t>
  </si>
  <si>
    <t>CO2 transport cost (140 km)</t>
  </si>
  <si>
    <t>Simplified base value for long-distance transport.</t>
  </si>
  <si>
    <t>Delivered CO2 cost at 70 km</t>
  </si>
  <si>
    <t>S3+S4</t>
  </si>
  <si>
    <t>Capture cost plus transport cost.</t>
  </si>
  <si>
    <t>Model</t>
  </si>
  <si>
    <t>Site-specific PV profile</t>
  </si>
  <si>
    <t>Yes</t>
  </si>
  <si>
    <t>-</t>
  </si>
  <si>
    <t>Model input</t>
  </si>
  <si>
    <t>Fixed by site; not a separate scenario dimension.</t>
  </si>
  <si>
    <t>DAC in base case</t>
  </si>
  <si>
    <t>No</t>
  </si>
  <si>
    <t>Model choice</t>
  </si>
  <si>
    <t>DAC excluded from the base cases.</t>
  </si>
  <si>
    <t>H2 export as a product</t>
  </si>
  <si>
    <t>Excluded by design.</t>
  </si>
  <si>
    <t>Demand Calculations and Assumptions</t>
  </si>
  <si>
    <t>The selected base demands remain fixed, while the local-use/export split is applied identically to ammonia and methanol.</t>
  </si>
  <si>
    <t>Methanol truck demand (2050)</t>
  </si>
  <si>
    <t>Logic / calculation</t>
  </si>
  <si>
    <t>Fixed exogenous demand for the 2050 truck fleet.</t>
  </si>
  <si>
    <t>Base case used in the model.</t>
  </si>
  <si>
    <t>Local-use share</t>
  </si>
  <si>
    <t>Applied to the selected base demand.</t>
  </si>
  <si>
    <t>Same split as ammonia.</t>
  </si>
  <si>
    <t>Local methanol demand</t>
  </si>
  <si>
    <t>Calc.</t>
  </si>
  <si>
    <t>Methanol used in the mining cluster.</t>
  </si>
  <si>
    <t>Export methanol demand</t>
  </si>
  <si>
    <t>Literature-based regional mining-cluster demand.</t>
  </si>
  <si>
    <t>Represents the local mining cluster rather than a single mine.</t>
  </si>
  <si>
    <t>Applied to the regional ammonia demand.</t>
  </si>
  <si>
    <t>Same split as methanol.</t>
  </si>
  <si>
    <t>Local ammonia demand</t>
  </si>
  <si>
    <t>Ammonia used within the mining cluster.</t>
  </si>
  <si>
    <t>Export ammonia demand</t>
  </si>
  <si>
    <t>Regional demand × export share.</t>
  </si>
  <si>
    <t>Ammonia shipped through the port.</t>
  </si>
  <si>
    <t>Note type</t>
  </si>
  <si>
    <t>Content</t>
  </si>
  <si>
    <t>Demand note</t>
  </si>
  <si>
    <t>Methanol demand is kept as a fixed 2050 truck-fuel requirement to keep the scenario set compact.</t>
  </si>
  <si>
    <t>Ammonia demand is the regional mining-cluster demand centered on the blasting-agent chain.</t>
  </si>
  <si>
    <t>Local use and export shares are identical for NH3 and MeOH in the base case.</t>
  </si>
  <si>
    <t>CO2 Source and Cost Calculations</t>
  </si>
  <si>
    <t>Base case uses methane / natural-gas emission factors, a conservative INACESA source estimate, and separate capture and transport assumptions.</t>
  </si>
  <si>
    <t>Altonorte fuel-based CO2</t>
  </si>
  <si>
    <t>Formula / logic</t>
  </si>
  <si>
    <t>Reported total non-renewable fuel use.</t>
  </si>
  <si>
    <t>MWh/a</t>
  </si>
  <si>
    <t>MJ/a divided by 3,600 MJ/MWh.</t>
  </si>
  <si>
    <t>Methane / natural-gas factor</t>
  </si>
  <si>
    <t>BAFA Erdgas factor used as methane proxy.</t>
  </si>
  <si>
    <t>tCO2/a</t>
  </si>
  <si>
    <t>Fuel use converted to MWh × emission factor.</t>
  </si>
  <si>
    <t>INACESA CO2 potential</t>
  </si>
  <si>
    <t>Lime capacity</t>
  </si>
  <si>
    <t>Installed capacity.</t>
  </si>
  <si>
    <t>Lime utilisation</t>
  </si>
  <si>
    <t>Proxy calcination factor.</t>
  </si>
  <si>
    <t>Lime CO2</t>
  </si>
  <si>
    <t>Capacity × utilisation × factor.</t>
  </si>
  <si>
    <t>Cement capacity</t>
  </si>
  <si>
    <t>Cement utilisation (low)</t>
  </si>
  <si>
    <t>Lower estimate from the capacity note.</t>
  </si>
  <si>
    <t>Cement utilisation (base)</t>
  </si>
  <si>
    <t>Midpoint of the estimate.</t>
  </si>
  <si>
    <t>Cement utilisation (high)</t>
  </si>
  <si>
    <t>Upper estimate from the capacity note.</t>
  </si>
  <si>
    <t>Cement CO2 (low)</t>
  </si>
  <si>
    <t>Cement CO2 (base)</t>
  </si>
  <si>
    <t>Cement CO2 (high)</t>
  </si>
  <si>
    <t>Total CO2 availability (low)</t>
  </si>
  <si>
    <t>Altonorte + lime + cement low.</t>
  </si>
  <si>
    <t>Total CO2 availability (base)</t>
  </si>
  <si>
    <t>Altonorte + lime + cement base.</t>
  </si>
  <si>
    <t>Total CO2 availability (high)</t>
  </si>
  <si>
    <t>Altonorte + lime + cement high.</t>
  </si>
  <si>
    <t>CO2 capture and transport costs</t>
  </si>
  <si>
    <t>CO2 capture cost at source</t>
  </si>
  <si>
    <t>Elsevier paper supports ~56-57 EUR/tCO2 and 74.5-124 EUR/tCO2 with transport/storage.</t>
  </si>
  <si>
    <t>Transport cost (20 km)</t>
  </si>
  <si>
    <t>Simplified short-distance pipeline value.</t>
  </si>
  <si>
    <t>MDPI transport study used as range support.</t>
  </si>
  <si>
    <t>Transport cost (70 km)</t>
  </si>
  <si>
    <t>Simplified mid-distance pipeline value.</t>
  </si>
  <si>
    <t>Base case for the mid-point site.</t>
  </si>
  <si>
    <t>Transport cost (140 km)</t>
  </si>
  <si>
    <t>Simplified long-distance pipeline value.</t>
  </si>
  <si>
    <t>Upper-value estimate for the mine site.</t>
  </si>
  <si>
    <t>Delivered CO2 cost (70 km)</t>
  </si>
  <si>
    <t>Capture cost + transport cost.</t>
  </si>
  <si>
    <t>Scenario Matrix and Fixed Assumptions</t>
  </si>
  <si>
    <t>Base case: 3 sites × 2 products; site-specific PV profiles are inputs, not separate scenario dimensions.</t>
  </si>
  <si>
    <t>Scenario ID</t>
  </si>
  <si>
    <t>Site</t>
  </si>
  <si>
    <t>Product</t>
  </si>
  <si>
    <t>PV profile</t>
  </si>
  <si>
    <t>Offtake split</t>
  </si>
  <si>
    <t>CO2 requirement</t>
  </si>
  <si>
    <t>Transport logic</t>
  </si>
  <si>
    <t>Desalination / coast</t>
  </si>
  <si>
    <t>Ammonia</t>
  </si>
  <si>
    <t>Coastal PV profile</t>
  </si>
  <si>
    <t>60% local / 40% export</t>
  </si>
  <si>
    <t>No CO2</t>
  </si>
  <si>
    <t>Local ammonia goes to the mining cluster; export goes to the port.</t>
  </si>
  <si>
    <t>No DAC; no H2 export.</t>
  </si>
  <si>
    <t>Methanol</t>
  </si>
  <si>
    <t>CO2 from La Negra / Altonorte</t>
  </si>
  <si>
    <t>CO2 delivered to the coast (~20 km); methanol split between mining-cluster use and export.</t>
  </si>
  <si>
    <t>Pump station / corridor</t>
  </si>
  <si>
    <t>Mid-corridor PV profile</t>
  </si>
  <si>
    <t>CO2 delivered to the corridor (~70 km); methanol split between mining-cluster use and export.</t>
  </si>
  <si>
    <t>Mine</t>
  </si>
  <si>
    <t>Mine-specific PV profile</t>
  </si>
  <si>
    <t>Local ammonia is consumed within the mining cluster; export goes to the port.</t>
  </si>
  <si>
    <t>CO2 delivered to the mine (~140 km); methanol split between truck use and export.</t>
  </si>
  <si>
    <t>Fixed modelling assumptions</t>
  </si>
  <si>
    <t>Identical for NH3 and MeOH.</t>
  </si>
  <si>
    <t>DAC</t>
  </si>
  <si>
    <t>Excluded</t>
  </si>
  <si>
    <t>Not included in the base case.</t>
  </si>
  <si>
    <t>H2 export</t>
  </si>
  <si>
    <t>PV dimension</t>
  </si>
  <si>
    <t>Fixed by site</t>
  </si>
  <si>
    <t>PV resource is not a separate scenario axis.</t>
  </si>
  <si>
    <t>Source Register</t>
  </si>
  <si>
    <t>Primary source list used in the workbook. Plain-text URLs are included for traceability.</t>
  </si>
  <si>
    <t>ID</t>
  </si>
  <si>
    <t>Reference</t>
  </si>
  <si>
    <t>Use in workbook</t>
  </si>
  <si>
    <t>URL</t>
  </si>
  <si>
    <t>BAFA (2023). Informationsblatt CO2-Faktoren, version 2.9.</t>
  </si>
  <si>
    <t>Methane / natural-gas emission factor (0.201 tCO2/MWh).</t>
  </si>
  <si>
    <t>Official factor table</t>
  </si>
  <si>
    <t>https://www.bafa.de/SharedDocs/Downloads/DE/Energie/eew_infoblatt_co2_faktoren_2023.pdf?__blob=publicationFile&amp;v=2</t>
  </si>
  <si>
    <t>Glencore (2024). Altonorte Sustainability Report 2024.</t>
  </si>
  <si>
    <t>Altonorte fuel use and production data.</t>
  </si>
  <si>
    <t>Company sustainability report</t>
  </si>
  <si>
    <t>https://www.glencore.cl/.rest/api/v1/documents/f509bfd36c58c4c4c75224fd0a4323e0/Reporte%2BSostenibilidad%2BAltonorte%2B2024.pdf</t>
  </si>
  <si>
    <t>Schmidt et al. (2024). Pipeline Infrastructure for CO2 Transport: Cost Analysis and Design Optimization.</t>
  </si>
  <si>
    <t>CO2 transport cost range and distance sensitivity.</t>
  </si>
  <si>
    <t>Peer-reviewed article (MDPI Energies)</t>
  </si>
  <si>
    <t>https://doi.org/10.3390/en17122911</t>
  </si>
  <si>
    <t>Ferrario et al. (2024). Cost and environmentally efficient design of an absorption-based post-combustion carbon capture unit for industry applications.</t>
  </si>
  <si>
    <t>CO2 capture cost range for industry applications.</t>
  </si>
  <si>
    <t>Peer-reviewed article (Elsevier / CEJ)</t>
  </si>
  <si>
    <t>https://doi.org/10.1016/j.cej.2024.152900</t>
  </si>
  <si>
    <t>IEA Cement sector overview.</t>
  </si>
  <si>
    <t>Cement process context and proxy emission factor support.</t>
  </si>
  <si>
    <t>Institutional source</t>
  </si>
  <si>
    <t>https://www.iea.org/energy-system/buildings/cement</t>
  </si>
  <si>
    <t>Greco-Coppi et al. (2023). Efficient CO2 capture from lime plants: Techno-economic assessment of integrated concepts using indirectly heated carbonate looping technology.</t>
  </si>
  <si>
    <t>Lime-process support for calcination-based CO2 estimates.</t>
  </si>
  <si>
    <t>Peer-reviewed article (Elsevier)</t>
  </si>
  <si>
    <t>https://doi.org/10.1016/j.ccst.2023.100187</t>
  </si>
  <si>
    <t>HyEx / Enaex mining ammonia demand sources.</t>
  </si>
  <si>
    <t>Regional ammonia demand basis (350 kt/a).</t>
  </si>
  <si>
    <t>Industry source</t>
  </si>
  <si>
    <t>https://fch.cl/wp-content/uploads/2021/11/Showcase-HyEx_Engie-Enaex.pdf</t>
  </si>
  <si>
    <t>User-provided modelling assumptions and notes.</t>
  </si>
  <si>
    <t>Truck demand, utilization assumptions, distances, and scenario logic.</t>
  </si>
  <si>
    <t>User input</t>
  </si>
  <si>
    <t>N/A</t>
  </si>
  <si>
    <t>Non-renewable fuel use (MJ)</t>
  </si>
  <si>
    <t>Fuel use (MWh)</t>
  </si>
  <si>
    <t>Altonorte CO2 emissions</t>
  </si>
  <si>
    <t>Altonorte CO2 emissions captured</t>
  </si>
  <si>
    <t>Total emissions × emission capture efficiency.</t>
  </si>
  <si>
    <t>Input Energy as Basis</t>
  </si>
  <si>
    <t>Direct fuel-related CO2 emission estimate.</t>
  </si>
  <si>
    <t>adjusted emission estimate</t>
  </si>
  <si>
    <t>Based on publication and assumption</t>
  </si>
  <si>
    <t>Assumption based on lime LCI literature.</t>
  </si>
  <si>
    <t>Emissions from lime</t>
  </si>
  <si>
    <t>Lower bound.</t>
  </si>
  <si>
    <t>upper bound.</t>
  </si>
  <si>
    <t>Assumption, based on literature</t>
  </si>
  <si>
    <t>Lower-bound cement CO2 emissions.</t>
  </si>
  <si>
    <t>Base-case cement CO2 emissions.</t>
  </si>
  <si>
    <t>Upper-bound cement CO2 emissions.</t>
  </si>
  <si>
    <t>Lower-bound total CO2 emissions.</t>
  </si>
  <si>
    <t>Base-case total CO2 emissions.</t>
  </si>
  <si>
    <t>Upper-bound total CO2 emissions.</t>
  </si>
  <si>
    <t>Total CO2 availability (t)</t>
  </si>
  <si>
    <t>Base-case total CO2 emissions in t</t>
  </si>
  <si>
    <t>Delivered CO2 cost (20 km)</t>
  </si>
  <si>
    <t>Delivered CO2 cost (140 km)</t>
  </si>
  <si>
    <t>cost for short distance</t>
  </si>
  <si>
    <t>cost for middle</t>
  </si>
  <si>
    <t>cost for long distance</t>
  </si>
  <si>
    <t>Methanol demand for trucks (kt)</t>
  </si>
  <si>
    <t>Methanol demand for trucks (t)</t>
  </si>
  <si>
    <t>Total Methanol Demand</t>
  </si>
  <si>
    <t>Local demand</t>
  </si>
  <si>
    <t>Local demand / local-use share.</t>
  </si>
  <si>
    <t>Total demand × export share.</t>
  </si>
  <si>
    <t>Methanol exported via the port.</t>
  </si>
  <si>
    <t>Total demand to be supplied</t>
  </si>
  <si>
    <t>Ammonia demand (regional mining cluster, 2050)</t>
  </si>
  <si>
    <t>Regional ammonia demand (kt)</t>
  </si>
  <si>
    <t>Regional ammonia demand (t)</t>
  </si>
  <si>
    <t>Total Ammonia Demand</t>
  </si>
  <si>
    <t>Regional demand / local-use share.</t>
  </si>
  <si>
    <t>MJ per MWh</t>
  </si>
  <si>
    <t>MJ/MWh</t>
  </si>
  <si>
    <t>1 MWh = 3,600 MJ.</t>
  </si>
  <si>
    <t>MJ/kg</t>
  </si>
  <si>
    <t>1 kg = 19.900 MJ.</t>
  </si>
  <si>
    <t>Calorific value methanol</t>
  </si>
  <si>
    <t>https://www.sciencedirect.com/science/article/abs/pii/S0961953425006567</t>
  </si>
  <si>
    <t>Calorific value ammonia</t>
  </si>
  <si>
    <t>1 kg = 22.500 MJ.</t>
  </si>
  <si>
    <t>https://www.engineeringtoolbox.com/fuels-higher-calorific-values-d_169.html</t>
  </si>
  <si>
    <t>MWh/t</t>
  </si>
  <si>
    <t>Total Ammonia Demand (MWh)</t>
  </si>
  <si>
    <t>Total Methanol Demand (MWh)</t>
  </si>
  <si>
    <t>Chile Mining Corridor PtX - Parameters</t>
  </si>
  <si>
    <t>Methanol demand</t>
  </si>
  <si>
    <t>based on a 60/40 share of local demand to export</t>
  </si>
  <si>
    <t>Fuel Demand</t>
  </si>
  <si>
    <t>Ammonia demand</t>
  </si>
  <si>
    <t>Emissions</t>
  </si>
  <si>
    <t>Available CO2 emissions</t>
  </si>
  <si>
    <t>Lime CO2 adjusted</t>
  </si>
  <si>
    <t>Cement CO2 (low) adjusted</t>
  </si>
  <si>
    <t>Cement CO2 (base) adjusted</t>
  </si>
  <si>
    <t>Cement CO2 (high) adjusted</t>
  </si>
  <si>
    <t>CO2 emissions for use</t>
  </si>
  <si>
    <t>Combined emissiones of Altonorte processing pland, and reginal lime and cement production.</t>
  </si>
  <si>
    <t>Cost</t>
  </si>
  <si>
    <t>CO2 capture and transport cost</t>
  </si>
  <si>
    <t>CO2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</si>
</sst>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000"/>
  </numFmts>
  <fonts count="4">
    <font>
      <sz val="11"/>
      <name val="Carlito"/>
    </font>
    <font>
      <b/>
      <sz val="14"/>
      <color rgb="FFFFFFFF"/>
      <name val="Carlito"/>
    </font>
    <font>
      <i/>
      <sz val="10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1F4E78"/>
      </patternFill>
    </fill>
  </fills>
  <borders count="15">
    <border>
      <left/>
      <right/>
      <top/>
      <bottom/>
      <diagonal/>
    </border>
    <border>
      <left style="thin">
        <color rgb="FF0F172A"/>
      </left>
      <right/>
      <top style="thin">
        <color rgb="FF0F172A"/>
      </top>
      <bottom style="thin">
        <color rgb="FF0F172A"/>
      </bottom>
      <diagonal/>
    </border>
    <border>
      <left/>
      <right/>
      <top style="thin">
        <color rgb="FF0F172A"/>
      </top>
      <bottom style="thin">
        <color rgb="FF0F172A"/>
      </bottom>
      <diagonal/>
    </border>
    <border>
      <left/>
      <right style="thin">
        <color rgb="FF0F172A"/>
      </right>
      <top style="thin">
        <color rgb="FF0F172A"/>
      </top>
      <bottom style="thin">
        <color rgb="FF0F172A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4" borderId="4" xfId="0" applyFont="1" applyFill="1" applyBorder="1" applyAlignment="1">
      <alignment wrapText="1"/>
    </xf>
    <xf numFmtId="0" fontId="3" fillId="4" borderId="5" xfId="0" applyFont="1" applyFill="1" applyBorder="1" applyAlignment="1">
      <alignment wrapText="1"/>
    </xf>
    <xf numFmtId="0" fontId="3" fillId="4" borderId="6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164" fontId="0" fillId="0" borderId="8" xfId="0" applyNumberFormat="1" applyBorder="1" applyAlignment="1">
      <alignment wrapText="1"/>
    </xf>
    <xf numFmtId="164" fontId="0" fillId="0" borderId="0" xfId="0" applyNumberFormat="1" applyAlignment="1">
      <alignment wrapText="1"/>
    </xf>
    <xf numFmtId="164" fontId="0" fillId="0" borderId="13" xfId="0" applyNumberFormat="1" applyBorder="1" applyAlignment="1">
      <alignment wrapText="1"/>
    </xf>
    <xf numFmtId="9" fontId="0" fillId="0" borderId="0" xfId="0" applyNumberFormat="1" applyAlignment="1">
      <alignment wrapText="1"/>
    </xf>
    <xf numFmtId="9" fontId="0" fillId="0" borderId="8" xfId="0" applyNumberFormat="1" applyBorder="1" applyAlignment="1">
      <alignment wrapText="1"/>
    </xf>
    <xf numFmtId="4" fontId="0" fillId="0" borderId="8" xfId="0" applyNumberFormat="1" applyBorder="1" applyAlignment="1">
      <alignment wrapText="1"/>
    </xf>
    <xf numFmtId="4" fontId="0" fillId="0" borderId="0" xfId="0" applyNumberFormat="1" applyAlignment="1">
      <alignment wrapText="1"/>
    </xf>
    <xf numFmtId="4" fontId="3" fillId="4" borderId="5" xfId="0" applyNumberFormat="1" applyFont="1" applyFill="1" applyBorder="1" applyAlignment="1">
      <alignment wrapText="1"/>
    </xf>
    <xf numFmtId="4" fontId="0" fillId="0" borderId="13" xfId="0" applyNumberForma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2" fillId="3" borderId="0" xfId="0" applyFont="1" applyFill="1" applyAlignment="1">
      <alignment wrapText="1"/>
    </xf>
    <xf numFmtId="165" fontId="0" fillId="0" borderId="0" xfId="0" applyNumberFormat="1" applyAlignment="1">
      <alignment wrapText="1"/>
    </xf>
    <xf numFmtId="0" fontId="0" fillId="0" borderId="0" xfId="0" applyFill="1" applyBorder="1" applyAlignment="1">
      <alignment wrapText="1"/>
    </xf>
    <xf numFmtId="0" fontId="0" fillId="0" borderId="11" xfId="0" applyFill="1" applyBorder="1" applyAlignment="1">
      <alignment wrapText="1"/>
    </xf>
    <xf numFmtId="0" fontId="0" fillId="0" borderId="10" xfId="0" applyFill="1" applyBorder="1" applyAlignment="1">
      <alignment wrapText="1"/>
    </xf>
    <xf numFmtId="0" fontId="0" fillId="0" borderId="0" xfId="0" applyBorder="1" applyAlignment="1">
      <alignment wrapText="1"/>
    </xf>
    <xf numFmtId="4" fontId="0" fillId="0" borderId="0" xfId="0" applyNumberFormat="1"/>
    <xf numFmtId="4" fontId="0" fillId="0" borderId="0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2ECBF-0ED5-47F2-B014-0A48C60BF7C3}">
  <dimension ref="A1:F10"/>
  <sheetViews>
    <sheetView tabSelected="1" workbookViewId="0">
      <selection activeCell="C16" sqref="C16"/>
    </sheetView>
  </sheetViews>
  <sheetFormatPr defaultRowHeight="14"/>
  <cols>
    <col min="1" max="1" width="11.08203125" customWidth="1"/>
    <col min="2" max="2" width="27" customWidth="1"/>
    <col min="3" max="3" width="11.1640625" customWidth="1"/>
    <col min="4" max="4" width="9.6640625" customWidth="1"/>
    <col min="5" max="5" width="20.75" customWidth="1"/>
    <col min="6" max="6" width="41.83203125" customWidth="1"/>
  </cols>
  <sheetData>
    <row r="1" spans="1:6" ht="18">
      <c r="A1" s="22" t="s">
        <v>288</v>
      </c>
      <c r="B1" s="23"/>
      <c r="C1" s="23"/>
      <c r="D1" s="23"/>
      <c r="E1" s="23"/>
      <c r="F1" s="24"/>
    </row>
    <row r="2" spans="1:6">
      <c r="A2" s="25" t="s">
        <v>0</v>
      </c>
      <c r="B2" s="25"/>
      <c r="C2" s="25"/>
      <c r="D2" s="25"/>
      <c r="E2" s="25"/>
      <c r="F2" s="25"/>
    </row>
    <row r="4" spans="1:6">
      <c r="A4" s="1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3" t="s">
        <v>7</v>
      </c>
    </row>
    <row r="5" spans="1:6">
      <c r="A5" s="5" t="s">
        <v>8</v>
      </c>
      <c r="B5" s="6" t="s">
        <v>289</v>
      </c>
      <c r="C5" s="18">
        <f>'Demand Calculations'!B12</f>
        <v>2303240.7407407407</v>
      </c>
      <c r="D5" s="6" t="s">
        <v>119</v>
      </c>
      <c r="E5" s="6" t="s">
        <v>291</v>
      </c>
      <c r="F5" s="7" t="s">
        <v>290</v>
      </c>
    </row>
    <row r="6" spans="1:6">
      <c r="A6" s="5" t="s">
        <v>8</v>
      </c>
      <c r="B6" s="6" t="s">
        <v>292</v>
      </c>
      <c r="C6" s="31">
        <f>'Demand Calculations'!B22</f>
        <v>3645833.3333333335</v>
      </c>
      <c r="D6" s="6" t="s">
        <v>119</v>
      </c>
      <c r="E6" s="6" t="s">
        <v>291</v>
      </c>
      <c r="F6" s="7" t="s">
        <v>290</v>
      </c>
    </row>
    <row r="7" spans="1:6" ht="28">
      <c r="A7" t="s">
        <v>293</v>
      </c>
      <c r="B7" t="s">
        <v>294</v>
      </c>
      <c r="C7" s="31">
        <f>'CO2 Calculations'!B31</f>
        <v>591118.81751083327</v>
      </c>
      <c r="D7" s="11" t="s">
        <v>123</v>
      </c>
      <c r="E7" t="s">
        <v>299</v>
      </c>
      <c r="F7" s="4" t="s">
        <v>300</v>
      </c>
    </row>
    <row r="8" spans="1:6" ht="28">
      <c r="A8" t="s">
        <v>301</v>
      </c>
      <c r="B8" s="10" t="s">
        <v>257</v>
      </c>
      <c r="C8">
        <f>'CO2 Calculations'!B39</f>
        <v>59.5</v>
      </c>
      <c r="D8" s="11" t="s">
        <v>61</v>
      </c>
      <c r="E8" t="s">
        <v>303</v>
      </c>
      <c r="F8" t="s">
        <v>302</v>
      </c>
    </row>
    <row r="9" spans="1:6" ht="28">
      <c r="A9" t="s">
        <v>301</v>
      </c>
      <c r="B9" s="10" t="s">
        <v>160</v>
      </c>
      <c r="C9">
        <f>'CO2 Calculations'!B40</f>
        <v>62.5</v>
      </c>
      <c r="D9" s="11" t="s">
        <v>61</v>
      </c>
      <c r="E9" t="s">
        <v>303</v>
      </c>
      <c r="F9" t="s">
        <v>302</v>
      </c>
    </row>
    <row r="10" spans="1:6" ht="28">
      <c r="A10" t="s">
        <v>301</v>
      </c>
      <c r="B10" s="10" t="s">
        <v>258</v>
      </c>
      <c r="C10">
        <f>'CO2 Calculations'!B41</f>
        <v>66.5</v>
      </c>
      <c r="D10" s="11" t="s">
        <v>61</v>
      </c>
      <c r="E10" t="s">
        <v>303</v>
      </c>
      <c r="F10" t="s">
        <v>302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workbookViewId="0">
      <selection activeCell="C10" sqref="C10"/>
    </sheetView>
  </sheetViews>
  <sheetFormatPr defaultRowHeight="14"/>
  <cols>
    <col min="1" max="1" width="13.75" customWidth="1"/>
    <col min="2" max="2" width="28.75" customWidth="1"/>
    <col min="3" max="3" width="14.83203125" bestFit="1" customWidth="1"/>
    <col min="4" max="4" width="10" customWidth="1"/>
    <col min="5" max="5" width="11.9140625" customWidth="1"/>
    <col min="6" max="6" width="10.6640625" customWidth="1"/>
    <col min="7" max="7" width="36.25" customWidth="1"/>
  </cols>
  <sheetData>
    <row r="1" spans="1:7" ht="19" customHeight="1">
      <c r="A1" s="22" t="s">
        <v>288</v>
      </c>
      <c r="B1" s="23"/>
      <c r="C1" s="23"/>
      <c r="D1" s="23"/>
      <c r="E1" s="23"/>
      <c r="F1" s="23"/>
      <c r="G1" s="24"/>
    </row>
    <row r="2" spans="1:7" ht="12" customHeight="1">
      <c r="A2" s="25" t="s">
        <v>0</v>
      </c>
      <c r="B2" s="25"/>
      <c r="C2" s="25"/>
      <c r="D2" s="25"/>
      <c r="E2" s="25"/>
      <c r="F2" s="25"/>
      <c r="G2" s="25"/>
    </row>
    <row r="4" spans="1:7" ht="11" customHeight="1">
      <c r="A4" s="1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3" t="s">
        <v>7</v>
      </c>
    </row>
    <row r="5" spans="1:7" ht="28">
      <c r="A5" s="5" t="s">
        <v>8</v>
      </c>
      <c r="B5" s="6" t="s">
        <v>9</v>
      </c>
      <c r="C5" s="18">
        <v>250</v>
      </c>
      <c r="D5" s="6" t="s">
        <v>10</v>
      </c>
      <c r="E5" s="6" t="s">
        <v>11</v>
      </c>
      <c r="F5" s="6" t="s">
        <v>12</v>
      </c>
      <c r="G5" s="7" t="s">
        <v>13</v>
      </c>
    </row>
    <row r="6" spans="1:7" ht="28">
      <c r="A6" s="8" t="s">
        <v>8</v>
      </c>
      <c r="B6" s="4" t="s">
        <v>14</v>
      </c>
      <c r="C6" s="19">
        <v>350</v>
      </c>
      <c r="D6" s="4" t="s">
        <v>10</v>
      </c>
      <c r="E6" s="4" t="s">
        <v>15</v>
      </c>
      <c r="F6" s="4" t="s">
        <v>16</v>
      </c>
      <c r="G6" s="9" t="s">
        <v>17</v>
      </c>
    </row>
    <row r="7" spans="1:7">
      <c r="A7" s="8" t="s">
        <v>8</v>
      </c>
      <c r="B7" s="4" t="s">
        <v>18</v>
      </c>
      <c r="C7" s="19">
        <v>0.6</v>
      </c>
      <c r="D7" s="4" t="s">
        <v>19</v>
      </c>
      <c r="E7" s="4" t="s">
        <v>11</v>
      </c>
      <c r="F7" s="4" t="s">
        <v>12</v>
      </c>
      <c r="G7" s="9" t="s">
        <v>20</v>
      </c>
    </row>
    <row r="8" spans="1:7">
      <c r="A8" s="8" t="s">
        <v>8</v>
      </c>
      <c r="B8" s="4" t="s">
        <v>21</v>
      </c>
      <c r="C8" s="19">
        <v>0.4</v>
      </c>
      <c r="D8" s="4" t="s">
        <v>19</v>
      </c>
      <c r="E8" s="4" t="s">
        <v>11</v>
      </c>
      <c r="F8" s="4" t="s">
        <v>12</v>
      </c>
      <c r="G8" s="9" t="s">
        <v>20</v>
      </c>
    </row>
    <row r="9" spans="1:7" ht="28">
      <c r="A9" s="8" t="s">
        <v>22</v>
      </c>
      <c r="B9" s="4" t="s">
        <v>23</v>
      </c>
      <c r="C9" s="19">
        <v>0.20100000000000001</v>
      </c>
      <c r="D9" s="4" t="s">
        <v>24</v>
      </c>
      <c r="E9" s="4" t="s">
        <v>15</v>
      </c>
      <c r="F9" s="4" t="s">
        <v>25</v>
      </c>
      <c r="G9" s="9" t="s">
        <v>26</v>
      </c>
    </row>
    <row r="10" spans="1:7" ht="28">
      <c r="A10" s="8" t="s">
        <v>22</v>
      </c>
      <c r="B10" s="4" t="s">
        <v>27</v>
      </c>
      <c r="C10" s="19">
        <v>1338695239</v>
      </c>
      <c r="D10" s="4" t="s">
        <v>28</v>
      </c>
      <c r="E10" s="4" t="s">
        <v>15</v>
      </c>
      <c r="F10" s="4" t="s">
        <v>29</v>
      </c>
      <c r="G10" s="9" t="s">
        <v>30</v>
      </c>
    </row>
    <row r="11" spans="1:7" ht="28">
      <c r="A11" s="8" t="s">
        <v>22</v>
      </c>
      <c r="B11" s="4" t="s">
        <v>31</v>
      </c>
      <c r="C11" s="19">
        <v>74.7</v>
      </c>
      <c r="D11" s="4" t="s">
        <v>32</v>
      </c>
      <c r="E11" s="4" t="s">
        <v>33</v>
      </c>
      <c r="F11" s="4" t="s">
        <v>34</v>
      </c>
      <c r="G11" s="9" t="s">
        <v>35</v>
      </c>
    </row>
    <row r="12" spans="1:7">
      <c r="A12" s="8" t="s">
        <v>22</v>
      </c>
      <c r="B12" s="4" t="s">
        <v>36</v>
      </c>
      <c r="C12" s="19">
        <v>650000</v>
      </c>
      <c r="D12" s="4" t="s">
        <v>37</v>
      </c>
      <c r="E12" s="4" t="s">
        <v>38</v>
      </c>
      <c r="F12" s="4" t="s">
        <v>12</v>
      </c>
      <c r="G12" s="9" t="s">
        <v>39</v>
      </c>
    </row>
    <row r="13" spans="1:7">
      <c r="A13" s="8" t="s">
        <v>22</v>
      </c>
      <c r="B13" s="4" t="s">
        <v>40</v>
      </c>
      <c r="C13" s="19">
        <v>0.9</v>
      </c>
      <c r="D13" s="4" t="s">
        <v>19</v>
      </c>
      <c r="E13" s="4" t="s">
        <v>38</v>
      </c>
      <c r="F13" s="4" t="s">
        <v>12</v>
      </c>
      <c r="G13" s="9" t="s">
        <v>41</v>
      </c>
    </row>
    <row r="14" spans="1:7">
      <c r="A14" s="8" t="s">
        <v>22</v>
      </c>
      <c r="B14" s="4" t="s">
        <v>42</v>
      </c>
      <c r="C14" s="19">
        <v>0.75</v>
      </c>
      <c r="D14" s="4" t="s">
        <v>43</v>
      </c>
      <c r="E14" s="4" t="s">
        <v>11</v>
      </c>
      <c r="F14" s="4" t="s">
        <v>44</v>
      </c>
      <c r="G14" s="9" t="s">
        <v>45</v>
      </c>
    </row>
    <row r="15" spans="1:7">
      <c r="A15" s="8" t="s">
        <v>22</v>
      </c>
      <c r="B15" s="4" t="s">
        <v>46</v>
      </c>
      <c r="C15" s="19">
        <v>438.8</v>
      </c>
      <c r="D15" s="4" t="s">
        <v>32</v>
      </c>
      <c r="E15" s="4" t="s">
        <v>33</v>
      </c>
      <c r="F15" s="4" t="s">
        <v>47</v>
      </c>
      <c r="G15" s="9" t="s">
        <v>48</v>
      </c>
    </row>
    <row r="16" spans="1:7">
      <c r="A16" s="8" t="s">
        <v>22</v>
      </c>
      <c r="B16" s="4" t="s">
        <v>49</v>
      </c>
      <c r="C16" s="19">
        <v>500000</v>
      </c>
      <c r="D16" s="4" t="s">
        <v>37</v>
      </c>
      <c r="E16" s="4" t="s">
        <v>38</v>
      </c>
      <c r="F16" s="4" t="s">
        <v>12</v>
      </c>
      <c r="G16" s="9" t="s">
        <v>39</v>
      </c>
    </row>
    <row r="17" spans="1:7" ht="28">
      <c r="A17" s="8" t="s">
        <v>22</v>
      </c>
      <c r="B17" s="4" t="s">
        <v>50</v>
      </c>
      <c r="C17" s="19">
        <v>0.45</v>
      </c>
      <c r="D17" s="4" t="s">
        <v>19</v>
      </c>
      <c r="E17" s="4" t="s">
        <v>11</v>
      </c>
      <c r="F17" s="4" t="s">
        <v>12</v>
      </c>
      <c r="G17" s="9" t="s">
        <v>51</v>
      </c>
    </row>
    <row r="18" spans="1:7">
      <c r="A18" s="8" t="s">
        <v>22</v>
      </c>
      <c r="B18" s="4" t="s">
        <v>52</v>
      </c>
      <c r="C18" s="19">
        <v>0.6</v>
      </c>
      <c r="D18" s="4" t="s">
        <v>43</v>
      </c>
      <c r="E18" s="4" t="s">
        <v>11</v>
      </c>
      <c r="F18" s="4" t="s">
        <v>53</v>
      </c>
      <c r="G18" s="9" t="s">
        <v>54</v>
      </c>
    </row>
    <row r="19" spans="1:7">
      <c r="A19" s="8" t="s">
        <v>22</v>
      </c>
      <c r="B19" s="4" t="s">
        <v>55</v>
      </c>
      <c r="C19" s="19">
        <v>135</v>
      </c>
      <c r="D19" s="4" t="s">
        <v>32</v>
      </c>
      <c r="E19" s="4" t="s">
        <v>33</v>
      </c>
      <c r="F19" s="4" t="s">
        <v>56</v>
      </c>
      <c r="G19" s="9" t="s">
        <v>48</v>
      </c>
    </row>
    <row r="20" spans="1:7" ht="28">
      <c r="A20" s="8" t="s">
        <v>22</v>
      </c>
      <c r="B20" s="4" t="s">
        <v>57</v>
      </c>
      <c r="C20" s="19">
        <v>648.5</v>
      </c>
      <c r="D20" s="4" t="s">
        <v>32</v>
      </c>
      <c r="E20" s="4" t="s">
        <v>33</v>
      </c>
      <c r="F20" s="4" t="s">
        <v>58</v>
      </c>
      <c r="G20" s="9" t="s">
        <v>59</v>
      </c>
    </row>
    <row r="21" spans="1:7">
      <c r="A21" s="8" t="s">
        <v>22</v>
      </c>
      <c r="B21" s="4" t="s">
        <v>60</v>
      </c>
      <c r="C21" s="19">
        <v>60</v>
      </c>
      <c r="D21" s="4" t="s">
        <v>61</v>
      </c>
      <c r="E21" s="4" t="s">
        <v>11</v>
      </c>
      <c r="F21" s="4" t="s">
        <v>62</v>
      </c>
      <c r="G21" s="9" t="s">
        <v>63</v>
      </c>
    </row>
    <row r="22" spans="1:7" ht="28">
      <c r="A22" s="8" t="s">
        <v>22</v>
      </c>
      <c r="B22" s="4" t="s">
        <v>64</v>
      </c>
      <c r="C22" s="19">
        <v>3</v>
      </c>
      <c r="D22" s="4" t="s">
        <v>61</v>
      </c>
      <c r="E22" s="4" t="s">
        <v>11</v>
      </c>
      <c r="F22" s="4" t="s">
        <v>65</v>
      </c>
      <c r="G22" s="9" t="s">
        <v>66</v>
      </c>
    </row>
    <row r="23" spans="1:7" ht="28">
      <c r="A23" s="8" t="s">
        <v>22</v>
      </c>
      <c r="B23" s="4" t="s">
        <v>67</v>
      </c>
      <c r="C23" s="19">
        <v>6</v>
      </c>
      <c r="D23" s="4" t="s">
        <v>61</v>
      </c>
      <c r="E23" s="4" t="s">
        <v>11</v>
      </c>
      <c r="F23" s="4" t="s">
        <v>65</v>
      </c>
      <c r="G23" s="9" t="s">
        <v>68</v>
      </c>
    </row>
    <row r="24" spans="1:7" ht="28">
      <c r="A24" s="8" t="s">
        <v>22</v>
      </c>
      <c r="B24" s="4" t="s">
        <v>69</v>
      </c>
      <c r="C24" s="19">
        <v>10</v>
      </c>
      <c r="D24" s="4" t="s">
        <v>61</v>
      </c>
      <c r="E24" s="4" t="s">
        <v>11</v>
      </c>
      <c r="F24" s="4" t="s">
        <v>65</v>
      </c>
      <c r="G24" s="9" t="s">
        <v>70</v>
      </c>
    </row>
    <row r="25" spans="1:7">
      <c r="A25" s="8" t="s">
        <v>22</v>
      </c>
      <c r="B25" s="4" t="s">
        <v>71</v>
      </c>
      <c r="C25" s="19">
        <v>66</v>
      </c>
      <c r="D25" s="4" t="s">
        <v>61</v>
      </c>
      <c r="E25" s="4" t="s">
        <v>33</v>
      </c>
      <c r="F25" s="4" t="s">
        <v>72</v>
      </c>
      <c r="G25" s="9" t="s">
        <v>73</v>
      </c>
    </row>
    <row r="26" spans="1:7" ht="28">
      <c r="A26" s="8" t="s">
        <v>74</v>
      </c>
      <c r="B26" s="4" t="s">
        <v>75</v>
      </c>
      <c r="C26" s="14" t="s">
        <v>76</v>
      </c>
      <c r="D26" s="4" t="s">
        <v>77</v>
      </c>
      <c r="E26" s="4" t="s">
        <v>78</v>
      </c>
      <c r="F26" s="4" t="s">
        <v>12</v>
      </c>
      <c r="G26" s="9" t="s">
        <v>79</v>
      </c>
    </row>
    <row r="27" spans="1:7">
      <c r="A27" s="8" t="s">
        <v>74</v>
      </c>
      <c r="B27" s="4" t="s">
        <v>80</v>
      </c>
      <c r="C27" s="14" t="s">
        <v>81</v>
      </c>
      <c r="D27" s="4" t="s">
        <v>77</v>
      </c>
      <c r="E27" s="4" t="s">
        <v>82</v>
      </c>
      <c r="F27" s="4" t="s">
        <v>12</v>
      </c>
      <c r="G27" s="9" t="s">
        <v>83</v>
      </c>
    </row>
    <row r="28" spans="1:7">
      <c r="A28" s="10" t="s">
        <v>74</v>
      </c>
      <c r="B28" s="11" t="s">
        <v>84</v>
      </c>
      <c r="C28" s="15" t="s">
        <v>81</v>
      </c>
      <c r="D28" s="11" t="s">
        <v>77</v>
      </c>
      <c r="E28" s="11" t="s">
        <v>82</v>
      </c>
      <c r="F28" s="11" t="s">
        <v>12</v>
      </c>
      <c r="G28" s="12" t="s">
        <v>85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"/>
  <sheetViews>
    <sheetView topLeftCell="A17" workbookViewId="0">
      <selection activeCell="D12" sqref="D12"/>
    </sheetView>
  </sheetViews>
  <sheetFormatPr defaultRowHeight="14"/>
  <cols>
    <col min="1" max="1" width="28.75" customWidth="1"/>
    <col min="2" max="2" width="15" customWidth="1"/>
    <col min="3" max="3" width="10" customWidth="1"/>
    <col min="4" max="4" width="27.5" customWidth="1"/>
    <col min="5" max="5" width="10.6640625" customWidth="1"/>
    <col min="6" max="6" width="35" customWidth="1"/>
  </cols>
  <sheetData>
    <row r="1" spans="1:6" ht="12" customHeight="1">
      <c r="A1" s="22" t="s">
        <v>86</v>
      </c>
      <c r="B1" s="23"/>
      <c r="C1" s="23"/>
      <c r="D1" s="23"/>
      <c r="E1" s="23"/>
      <c r="F1" s="24"/>
    </row>
    <row r="2" spans="1:6" ht="12" customHeight="1">
      <c r="A2" s="25" t="s">
        <v>87</v>
      </c>
      <c r="B2" s="25"/>
      <c r="C2" s="25"/>
      <c r="D2" s="25"/>
      <c r="E2" s="25"/>
      <c r="F2" s="25"/>
    </row>
    <row r="4" spans="1:6">
      <c r="A4" s="1" t="s">
        <v>88</v>
      </c>
      <c r="B4" s="2" t="s">
        <v>3</v>
      </c>
      <c r="C4" s="2" t="s">
        <v>4</v>
      </c>
      <c r="D4" s="2" t="s">
        <v>89</v>
      </c>
      <c r="E4" s="2" t="s">
        <v>6</v>
      </c>
      <c r="F4" s="3" t="s">
        <v>7</v>
      </c>
    </row>
    <row r="5" spans="1:6" ht="28">
      <c r="A5" s="5" t="s">
        <v>262</v>
      </c>
      <c r="B5" s="13">
        <v>250</v>
      </c>
      <c r="C5" s="6" t="s">
        <v>10</v>
      </c>
      <c r="D5" s="6" t="s">
        <v>90</v>
      </c>
      <c r="E5" s="6" t="s">
        <v>12</v>
      </c>
      <c r="F5" s="7" t="s">
        <v>91</v>
      </c>
    </row>
    <row r="6" spans="1:6">
      <c r="A6" s="5" t="s">
        <v>263</v>
      </c>
      <c r="B6" s="19">
        <f>B5*1000</f>
        <v>250000</v>
      </c>
      <c r="C6" s="4" t="s">
        <v>37</v>
      </c>
      <c r="D6" s="4"/>
      <c r="E6" s="4"/>
      <c r="F6" s="7"/>
    </row>
    <row r="7" spans="1:6" ht="28">
      <c r="A7" s="8" t="s">
        <v>92</v>
      </c>
      <c r="B7" s="16">
        <v>0.6</v>
      </c>
      <c r="C7" s="4" t="s">
        <v>19</v>
      </c>
      <c r="D7" s="4" t="s">
        <v>93</v>
      </c>
      <c r="E7" s="4" t="s">
        <v>12</v>
      </c>
      <c r="F7" s="9" t="s">
        <v>94</v>
      </c>
    </row>
    <row r="8" spans="1:6" ht="28">
      <c r="A8" s="8" t="s">
        <v>21</v>
      </c>
      <c r="B8" s="16">
        <v>0.4</v>
      </c>
      <c r="C8" s="4" t="s">
        <v>19</v>
      </c>
      <c r="D8" s="4" t="s">
        <v>93</v>
      </c>
      <c r="E8" s="4" t="s">
        <v>12</v>
      </c>
      <c r="F8" s="9" t="s">
        <v>94</v>
      </c>
    </row>
    <row r="9" spans="1:6">
      <c r="A9" s="8" t="s">
        <v>95</v>
      </c>
      <c r="B9" s="19">
        <f>B6</f>
        <v>250000</v>
      </c>
      <c r="C9" s="4" t="s">
        <v>37</v>
      </c>
      <c r="D9" s="4" t="s">
        <v>265</v>
      </c>
      <c r="E9" s="4" t="s">
        <v>96</v>
      </c>
      <c r="F9" s="9" t="s">
        <v>97</v>
      </c>
    </row>
    <row r="10" spans="1:6">
      <c r="A10" s="10" t="s">
        <v>98</v>
      </c>
      <c r="B10" s="19">
        <f>B11*B8</f>
        <v>166666.66666666669</v>
      </c>
      <c r="C10" s="11" t="s">
        <v>37</v>
      </c>
      <c r="D10" s="11" t="s">
        <v>267</v>
      </c>
      <c r="E10" s="11" t="s">
        <v>96</v>
      </c>
      <c r="F10" s="12" t="s">
        <v>268</v>
      </c>
    </row>
    <row r="11" spans="1:6">
      <c r="A11" s="29" t="s">
        <v>264</v>
      </c>
      <c r="B11" s="19">
        <f>B9/B7</f>
        <v>416666.66666666669</v>
      </c>
      <c r="C11" s="11" t="s">
        <v>37</v>
      </c>
      <c r="D11" s="4" t="s">
        <v>266</v>
      </c>
      <c r="E11" s="11" t="s">
        <v>96</v>
      </c>
      <c r="F11" s="28" t="s">
        <v>269</v>
      </c>
    </row>
    <row r="12" spans="1:6">
      <c r="A12" s="29" t="s">
        <v>287</v>
      </c>
      <c r="B12" s="19">
        <f>B11*B33</f>
        <v>2303240.7407407407</v>
      </c>
      <c r="C12" s="30" t="s">
        <v>119</v>
      </c>
      <c r="D12" s="4"/>
      <c r="E12" s="30"/>
      <c r="F12" s="28" t="s">
        <v>269</v>
      </c>
    </row>
    <row r="14" spans="1:6" ht="28">
      <c r="A14" s="1" t="s">
        <v>270</v>
      </c>
      <c r="B14" s="2" t="s">
        <v>3</v>
      </c>
      <c r="C14" s="2" t="s">
        <v>4</v>
      </c>
      <c r="D14" s="2" t="s">
        <v>89</v>
      </c>
      <c r="E14" s="2" t="s">
        <v>6</v>
      </c>
      <c r="F14" s="3" t="s">
        <v>7</v>
      </c>
    </row>
    <row r="15" spans="1:6" ht="28">
      <c r="A15" s="5" t="s">
        <v>271</v>
      </c>
      <c r="B15" s="13">
        <v>350</v>
      </c>
      <c r="C15" s="6" t="s">
        <v>10</v>
      </c>
      <c r="D15" s="6" t="s">
        <v>99</v>
      </c>
      <c r="E15" s="6" t="s">
        <v>16</v>
      </c>
      <c r="F15" s="7" t="s">
        <v>100</v>
      </c>
    </row>
    <row r="16" spans="1:6">
      <c r="A16" s="5" t="s">
        <v>272</v>
      </c>
      <c r="B16" s="19">
        <f>B15*1000</f>
        <v>350000</v>
      </c>
      <c r="C16" s="4" t="s">
        <v>37</v>
      </c>
      <c r="D16" s="30"/>
      <c r="E16" s="30"/>
      <c r="F16" s="9"/>
    </row>
    <row r="17" spans="1:6" ht="28">
      <c r="A17" s="8" t="s">
        <v>92</v>
      </c>
      <c r="B17" s="16">
        <v>0.6</v>
      </c>
      <c r="C17" s="4" t="s">
        <v>19</v>
      </c>
      <c r="D17" s="4" t="s">
        <v>101</v>
      </c>
      <c r="E17" s="4" t="s">
        <v>12</v>
      </c>
      <c r="F17" s="9" t="s">
        <v>102</v>
      </c>
    </row>
    <row r="18" spans="1:6" ht="28">
      <c r="A18" s="8" t="s">
        <v>21</v>
      </c>
      <c r="B18" s="16">
        <v>0.4</v>
      </c>
      <c r="C18" s="4" t="s">
        <v>19</v>
      </c>
      <c r="D18" s="4" t="s">
        <v>101</v>
      </c>
      <c r="E18" s="4" t="s">
        <v>12</v>
      </c>
      <c r="F18" s="9" t="s">
        <v>102</v>
      </c>
    </row>
    <row r="19" spans="1:6" ht="28">
      <c r="A19" s="8" t="s">
        <v>103</v>
      </c>
      <c r="B19" s="19">
        <f>B16</f>
        <v>350000</v>
      </c>
      <c r="C19" s="4" t="s">
        <v>37</v>
      </c>
      <c r="D19" s="4" t="s">
        <v>106</v>
      </c>
      <c r="E19" s="4" t="s">
        <v>96</v>
      </c>
      <c r="F19" s="9" t="s">
        <v>104</v>
      </c>
    </row>
    <row r="20" spans="1:6">
      <c r="A20" s="10" t="s">
        <v>105</v>
      </c>
      <c r="B20" s="19">
        <f>B21*B18</f>
        <v>233333.33333333337</v>
      </c>
      <c r="C20" s="4" t="s">
        <v>37</v>
      </c>
      <c r="D20" s="11" t="s">
        <v>267</v>
      </c>
      <c r="E20" s="11" t="s">
        <v>96</v>
      </c>
      <c r="F20" s="12" t="s">
        <v>107</v>
      </c>
    </row>
    <row r="21" spans="1:6" ht="28">
      <c r="A21" s="29" t="s">
        <v>273</v>
      </c>
      <c r="B21" s="19">
        <f>B19/B17</f>
        <v>583333.33333333337</v>
      </c>
      <c r="C21" s="4" t="s">
        <v>37</v>
      </c>
      <c r="D21" s="4" t="s">
        <v>274</v>
      </c>
      <c r="E21" s="11" t="s">
        <v>96</v>
      </c>
      <c r="F21" s="28" t="s">
        <v>269</v>
      </c>
    </row>
    <row r="22" spans="1:6">
      <c r="A22" s="29" t="s">
        <v>286</v>
      </c>
      <c r="B22" s="19">
        <f>B21*B34</f>
        <v>3645833.3333333335</v>
      </c>
      <c r="C22" s="4" t="s">
        <v>119</v>
      </c>
      <c r="E22" s="11" t="s">
        <v>96</v>
      </c>
      <c r="F22" s="28" t="s">
        <v>269</v>
      </c>
    </row>
    <row r="24" spans="1:6">
      <c r="A24" s="1" t="s">
        <v>108</v>
      </c>
      <c r="B24" s="3" t="s">
        <v>109</v>
      </c>
    </row>
    <row r="25" spans="1:6" ht="98">
      <c r="A25" s="5" t="s">
        <v>110</v>
      </c>
      <c r="B25" s="7" t="s">
        <v>111</v>
      </c>
    </row>
    <row r="26" spans="1:6" ht="98">
      <c r="A26" s="8" t="s">
        <v>110</v>
      </c>
      <c r="B26" s="9" t="s">
        <v>112</v>
      </c>
    </row>
    <row r="27" spans="1:6" ht="70">
      <c r="A27" s="10" t="s">
        <v>110</v>
      </c>
      <c r="B27" s="12" t="s">
        <v>113</v>
      </c>
    </row>
    <row r="30" spans="1:6">
      <c r="A30" s="8" t="s">
        <v>275</v>
      </c>
      <c r="B30" s="14">
        <v>3600</v>
      </c>
      <c r="C30" s="4" t="s">
        <v>276</v>
      </c>
      <c r="D30" s="4" t="s">
        <v>277</v>
      </c>
    </row>
    <row r="31" spans="1:6">
      <c r="A31" s="27" t="s">
        <v>280</v>
      </c>
      <c r="B31">
        <v>19.899999999999999</v>
      </c>
      <c r="C31" t="s">
        <v>278</v>
      </c>
      <c r="D31" s="4" t="s">
        <v>279</v>
      </c>
      <c r="E31" t="s">
        <v>281</v>
      </c>
    </row>
    <row r="32" spans="1:6">
      <c r="A32" s="27" t="s">
        <v>282</v>
      </c>
      <c r="B32">
        <v>22.5</v>
      </c>
      <c r="C32" t="s">
        <v>278</v>
      </c>
      <c r="D32" s="4" t="s">
        <v>283</v>
      </c>
      <c r="E32" t="s">
        <v>284</v>
      </c>
    </row>
    <row r="33" spans="1:3">
      <c r="A33" s="27" t="s">
        <v>280</v>
      </c>
      <c r="B33">
        <f>B31/$B$30*1000</f>
        <v>5.5277777777777777</v>
      </c>
      <c r="C33" t="s">
        <v>285</v>
      </c>
    </row>
    <row r="34" spans="1:3">
      <c r="A34" s="27" t="s">
        <v>282</v>
      </c>
      <c r="B34">
        <f>B32/$B$30*1000</f>
        <v>6.25</v>
      </c>
      <c r="C34" t="s">
        <v>285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1"/>
  <sheetViews>
    <sheetView topLeftCell="A31" workbookViewId="0">
      <selection activeCell="C39" sqref="C39:C41"/>
    </sheetView>
  </sheetViews>
  <sheetFormatPr defaultRowHeight="14"/>
  <cols>
    <col min="1" max="1" width="30.1640625" customWidth="1"/>
    <col min="2" max="2" width="15" customWidth="1"/>
    <col min="3" max="3" width="11.25" customWidth="1"/>
    <col min="4" max="4" width="28.75" customWidth="1"/>
    <col min="5" max="5" width="10.6640625" customWidth="1"/>
    <col min="6" max="6" width="32.5" customWidth="1"/>
    <col min="7" max="7" width="2.5" customWidth="1"/>
  </cols>
  <sheetData>
    <row r="1" spans="1:7" ht="18" customHeight="1">
      <c r="A1" s="22" t="s">
        <v>114</v>
      </c>
      <c r="B1" s="23"/>
      <c r="C1" s="23"/>
      <c r="D1" s="23"/>
      <c r="E1" s="23"/>
      <c r="F1" s="23"/>
      <c r="G1" s="24"/>
    </row>
    <row r="2" spans="1:7" ht="12" customHeight="1">
      <c r="A2" s="25" t="s">
        <v>115</v>
      </c>
      <c r="B2" s="25"/>
      <c r="C2" s="25"/>
      <c r="D2" s="25"/>
      <c r="E2" s="25"/>
      <c r="F2" s="25"/>
      <c r="G2" s="25"/>
    </row>
    <row r="4" spans="1:7">
      <c r="A4" s="1" t="s">
        <v>116</v>
      </c>
      <c r="B4" s="20" t="s">
        <v>3</v>
      </c>
      <c r="C4" s="2" t="s">
        <v>4</v>
      </c>
      <c r="D4" s="2" t="s">
        <v>117</v>
      </c>
      <c r="E4" s="2" t="s">
        <v>6</v>
      </c>
      <c r="F4" s="2" t="s">
        <v>7</v>
      </c>
      <c r="G4" s="3"/>
    </row>
    <row r="5" spans="1:7" ht="28">
      <c r="A5" s="5" t="s">
        <v>235</v>
      </c>
      <c r="B5" s="18">
        <v>1338695239</v>
      </c>
      <c r="C5" s="6" t="s">
        <v>28</v>
      </c>
      <c r="D5" s="6" t="s">
        <v>118</v>
      </c>
      <c r="E5" s="6" t="s">
        <v>29</v>
      </c>
      <c r="F5" s="7" t="s">
        <v>240</v>
      </c>
    </row>
    <row r="6" spans="1:7">
      <c r="A6" s="8" t="s">
        <v>236</v>
      </c>
      <c r="B6" s="19">
        <f>B5/3600</f>
        <v>371859.78861111111</v>
      </c>
      <c r="C6" s="4" t="s">
        <v>119</v>
      </c>
      <c r="D6" s="4" t="s">
        <v>120</v>
      </c>
      <c r="E6" s="4" t="s">
        <v>96</v>
      </c>
      <c r="F6" s="9"/>
    </row>
    <row r="7" spans="1:7" ht="28">
      <c r="A7" s="8" t="s">
        <v>121</v>
      </c>
      <c r="B7" s="26">
        <v>0.20100000000000001</v>
      </c>
      <c r="C7" s="4" t="s">
        <v>24</v>
      </c>
      <c r="D7" s="4" t="s">
        <v>122</v>
      </c>
      <c r="E7" s="4" t="s">
        <v>25</v>
      </c>
      <c r="F7" s="9"/>
    </row>
    <row r="8" spans="1:7" ht="28">
      <c r="A8" s="10" t="s">
        <v>237</v>
      </c>
      <c r="B8" s="21">
        <f>B6*B7</f>
        <v>74743.817510833338</v>
      </c>
      <c r="C8" s="11" t="s">
        <v>123</v>
      </c>
      <c r="D8" s="11" t="s">
        <v>124</v>
      </c>
      <c r="E8" s="11" t="s">
        <v>96</v>
      </c>
      <c r="F8" s="12" t="s">
        <v>241</v>
      </c>
    </row>
    <row r="9" spans="1:7" ht="28">
      <c r="A9" s="10" t="s">
        <v>238</v>
      </c>
      <c r="B9" s="21">
        <f>B8*0.9</f>
        <v>67269.435759750006</v>
      </c>
      <c r="C9" s="11" t="s">
        <v>123</v>
      </c>
      <c r="D9" s="11" t="s">
        <v>239</v>
      </c>
      <c r="E9" s="11" t="s">
        <v>96</v>
      </c>
      <c r="F9" s="27" t="s">
        <v>242</v>
      </c>
    </row>
    <row r="11" spans="1:7">
      <c r="A11" s="1" t="s">
        <v>125</v>
      </c>
      <c r="B11" s="2" t="s">
        <v>3</v>
      </c>
      <c r="C11" s="2" t="s">
        <v>4</v>
      </c>
      <c r="D11" s="2" t="s">
        <v>117</v>
      </c>
      <c r="E11" s="2" t="s">
        <v>6</v>
      </c>
      <c r="F11" s="2" t="s">
        <v>7</v>
      </c>
      <c r="G11" s="3"/>
    </row>
    <row r="12" spans="1:7">
      <c r="A12" s="5" t="s">
        <v>126</v>
      </c>
      <c r="B12" s="13">
        <v>650000</v>
      </c>
      <c r="C12" s="6" t="s">
        <v>37</v>
      </c>
      <c r="D12" s="6" t="s">
        <v>127</v>
      </c>
      <c r="E12" s="6" t="s">
        <v>12</v>
      </c>
      <c r="F12" s="7" t="s">
        <v>243</v>
      </c>
    </row>
    <row r="13" spans="1:7" ht="28">
      <c r="A13" s="8" t="s">
        <v>128</v>
      </c>
      <c r="B13" s="16">
        <v>0.9</v>
      </c>
      <c r="C13" s="4" t="s">
        <v>19</v>
      </c>
      <c r="D13" s="4" t="s">
        <v>41</v>
      </c>
      <c r="E13" s="4" t="s">
        <v>12</v>
      </c>
      <c r="F13" s="7" t="s">
        <v>243</v>
      </c>
    </row>
    <row r="14" spans="1:7" ht="28">
      <c r="A14" s="8" t="s">
        <v>42</v>
      </c>
      <c r="B14" s="16">
        <v>0.75</v>
      </c>
      <c r="C14" s="4" t="s">
        <v>43</v>
      </c>
      <c r="D14" s="4" t="s">
        <v>129</v>
      </c>
      <c r="E14" s="4" t="s">
        <v>44</v>
      </c>
      <c r="F14" s="9" t="s">
        <v>244</v>
      </c>
    </row>
    <row r="15" spans="1:7" ht="28">
      <c r="A15" s="8" t="s">
        <v>130</v>
      </c>
      <c r="B15" s="14">
        <f>B12*B13*B14/1000</f>
        <v>438.75</v>
      </c>
      <c r="C15" s="4" t="s">
        <v>32</v>
      </c>
      <c r="D15" s="4" t="s">
        <v>48</v>
      </c>
      <c r="E15" s="4" t="s">
        <v>96</v>
      </c>
      <c r="F15" s="9" t="s">
        <v>245</v>
      </c>
    </row>
    <row r="16" spans="1:7" ht="28">
      <c r="A16" s="8" t="s">
        <v>295</v>
      </c>
      <c r="B16" s="14">
        <f>B15*0.9</f>
        <v>394.875</v>
      </c>
      <c r="C16" s="4" t="s">
        <v>32</v>
      </c>
      <c r="D16" s="11" t="s">
        <v>239</v>
      </c>
      <c r="E16" s="11" t="s">
        <v>96</v>
      </c>
      <c r="F16" s="27" t="s">
        <v>242</v>
      </c>
    </row>
    <row r="17" spans="1:6">
      <c r="A17" s="8" t="s">
        <v>132</v>
      </c>
      <c r="B17" s="14">
        <v>500000</v>
      </c>
      <c r="C17" s="4" t="s">
        <v>37</v>
      </c>
      <c r="D17" s="4" t="s">
        <v>127</v>
      </c>
      <c r="E17" s="4" t="s">
        <v>12</v>
      </c>
      <c r="F17" s="7" t="s">
        <v>243</v>
      </c>
    </row>
    <row r="18" spans="1:6" ht="28">
      <c r="A18" s="8" t="s">
        <v>133</v>
      </c>
      <c r="B18" s="16">
        <v>0.4</v>
      </c>
      <c r="C18" s="4" t="s">
        <v>19</v>
      </c>
      <c r="D18" s="4" t="s">
        <v>134</v>
      </c>
      <c r="E18" s="4" t="s">
        <v>12</v>
      </c>
      <c r="F18" s="9" t="s">
        <v>246</v>
      </c>
    </row>
    <row r="19" spans="1:6">
      <c r="A19" s="8" t="s">
        <v>135</v>
      </c>
      <c r="B19" s="16">
        <v>0.45</v>
      </c>
      <c r="C19" s="4" t="s">
        <v>19</v>
      </c>
      <c r="D19" s="4" t="s">
        <v>136</v>
      </c>
      <c r="E19" s="4" t="s">
        <v>12</v>
      </c>
      <c r="F19" s="9" t="s">
        <v>11</v>
      </c>
    </row>
    <row r="20" spans="1:6" ht="28">
      <c r="A20" s="8" t="s">
        <v>137</v>
      </c>
      <c r="B20" s="16">
        <v>0.5</v>
      </c>
      <c r="C20" s="4" t="s">
        <v>19</v>
      </c>
      <c r="D20" s="4" t="s">
        <v>138</v>
      </c>
      <c r="E20" s="4" t="s">
        <v>12</v>
      </c>
      <c r="F20" s="9" t="s">
        <v>247</v>
      </c>
    </row>
    <row r="21" spans="1:6">
      <c r="A21" s="8" t="s">
        <v>52</v>
      </c>
      <c r="B21" s="14">
        <v>0.6</v>
      </c>
      <c r="C21" s="4" t="s">
        <v>43</v>
      </c>
      <c r="D21" s="4" t="s">
        <v>54</v>
      </c>
      <c r="E21" s="4" t="s">
        <v>53</v>
      </c>
      <c r="F21" s="9" t="s">
        <v>248</v>
      </c>
    </row>
    <row r="22" spans="1:6">
      <c r="A22" s="8" t="s">
        <v>139</v>
      </c>
      <c r="B22" s="14">
        <f>B17*B18*B21/1000</f>
        <v>120</v>
      </c>
      <c r="C22" s="4" t="s">
        <v>32</v>
      </c>
      <c r="D22" s="4" t="s">
        <v>131</v>
      </c>
      <c r="E22" s="4" t="s">
        <v>96</v>
      </c>
      <c r="F22" s="9" t="s">
        <v>249</v>
      </c>
    </row>
    <row r="23" spans="1:6">
      <c r="A23" s="8" t="s">
        <v>140</v>
      </c>
      <c r="B23" s="14">
        <f>B17*B19*B21/1000</f>
        <v>135</v>
      </c>
      <c r="C23" s="4" t="s">
        <v>32</v>
      </c>
      <c r="D23" s="4" t="s">
        <v>131</v>
      </c>
      <c r="E23" s="4" t="s">
        <v>96</v>
      </c>
      <c r="F23" s="9" t="s">
        <v>250</v>
      </c>
    </row>
    <row r="24" spans="1:6">
      <c r="A24" s="8" t="s">
        <v>141</v>
      </c>
      <c r="B24" s="14">
        <f>B17*B20*B21/1000</f>
        <v>150</v>
      </c>
      <c r="C24" s="4" t="s">
        <v>32</v>
      </c>
      <c r="D24" s="4" t="s">
        <v>131</v>
      </c>
      <c r="E24" s="4" t="s">
        <v>96</v>
      </c>
      <c r="F24" s="9" t="s">
        <v>251</v>
      </c>
    </row>
    <row r="25" spans="1:6" ht="28">
      <c r="A25" s="8" t="s">
        <v>296</v>
      </c>
      <c r="B25" s="14">
        <f>B22*0.9</f>
        <v>108</v>
      </c>
      <c r="C25" s="4" t="s">
        <v>32</v>
      </c>
      <c r="D25" s="11" t="s">
        <v>239</v>
      </c>
      <c r="E25" s="11" t="s">
        <v>96</v>
      </c>
      <c r="F25" s="27" t="s">
        <v>242</v>
      </c>
    </row>
    <row r="26" spans="1:6" ht="28">
      <c r="A26" s="8" t="s">
        <v>297</v>
      </c>
      <c r="B26" s="14">
        <f>B23*0.9</f>
        <v>121.5</v>
      </c>
      <c r="C26" s="4" t="s">
        <v>32</v>
      </c>
      <c r="D26" s="11" t="s">
        <v>239</v>
      </c>
      <c r="E26" s="11" t="s">
        <v>96</v>
      </c>
      <c r="F26" s="27" t="s">
        <v>242</v>
      </c>
    </row>
    <row r="27" spans="1:6" ht="28">
      <c r="A27" s="8" t="s">
        <v>298</v>
      </c>
      <c r="B27" s="14">
        <f>B24*0.9</f>
        <v>135</v>
      </c>
      <c r="C27" s="4" t="s">
        <v>32</v>
      </c>
      <c r="D27" s="11" t="s">
        <v>239</v>
      </c>
      <c r="E27" s="11" t="s">
        <v>96</v>
      </c>
      <c r="F27" s="27" t="s">
        <v>242</v>
      </c>
    </row>
    <row r="28" spans="1:6">
      <c r="A28" s="8" t="s">
        <v>142</v>
      </c>
      <c r="B28" s="14">
        <f>B8/1000+B16+B25</f>
        <v>577.61881751083331</v>
      </c>
      <c r="C28" s="4" t="s">
        <v>32</v>
      </c>
      <c r="D28" s="4" t="s">
        <v>143</v>
      </c>
      <c r="E28" s="4" t="s">
        <v>96</v>
      </c>
      <c r="F28" s="9" t="s">
        <v>252</v>
      </c>
    </row>
    <row r="29" spans="1:6">
      <c r="A29" s="8" t="s">
        <v>144</v>
      </c>
      <c r="B29" s="14">
        <f>B8/1000+B16+B26</f>
        <v>591.11881751083331</v>
      </c>
      <c r="C29" s="4" t="s">
        <v>32</v>
      </c>
      <c r="D29" s="4" t="s">
        <v>145</v>
      </c>
      <c r="E29" s="4" t="s">
        <v>96</v>
      </c>
      <c r="F29" s="9" t="s">
        <v>253</v>
      </c>
    </row>
    <row r="30" spans="1:6">
      <c r="A30" s="10" t="s">
        <v>146</v>
      </c>
      <c r="B30" s="15">
        <f>B8/1000+B16+B27</f>
        <v>604.61881751083331</v>
      </c>
      <c r="C30" s="11" t="s">
        <v>32</v>
      </c>
      <c r="D30" s="11" t="s">
        <v>147</v>
      </c>
      <c r="E30" s="11" t="s">
        <v>96</v>
      </c>
      <c r="F30" s="12" t="s">
        <v>254</v>
      </c>
    </row>
    <row r="31" spans="1:6">
      <c r="A31" s="8" t="s">
        <v>255</v>
      </c>
      <c r="B31" s="21">
        <f>B29*1000</f>
        <v>591118.81751083327</v>
      </c>
      <c r="C31" s="11" t="s">
        <v>123</v>
      </c>
      <c r="D31" s="4" t="s">
        <v>145</v>
      </c>
      <c r="E31" s="11" t="s">
        <v>96</v>
      </c>
      <c r="F31" s="9" t="s">
        <v>256</v>
      </c>
    </row>
    <row r="32" spans="1:6">
      <c r="A32" s="30"/>
      <c r="B32" s="32"/>
      <c r="C32" s="30"/>
      <c r="D32" s="4"/>
      <c r="E32" s="30"/>
      <c r="F32" s="30"/>
    </row>
    <row r="34" spans="1:7" ht="28">
      <c r="A34" s="1" t="s">
        <v>148</v>
      </c>
      <c r="B34" s="2" t="s">
        <v>3</v>
      </c>
      <c r="C34" s="2" t="s">
        <v>4</v>
      </c>
      <c r="D34" s="2" t="s">
        <v>117</v>
      </c>
      <c r="E34" s="2" t="s">
        <v>6</v>
      </c>
      <c r="F34" s="2" t="s">
        <v>7</v>
      </c>
      <c r="G34" s="3"/>
    </row>
    <row r="35" spans="1:7" ht="42">
      <c r="A35" s="5" t="s">
        <v>149</v>
      </c>
      <c r="B35" s="13">
        <v>56.5</v>
      </c>
      <c r="C35" s="6" t="s">
        <v>61</v>
      </c>
      <c r="D35" s="6" t="s">
        <v>63</v>
      </c>
      <c r="E35" s="6" t="s">
        <v>62</v>
      </c>
      <c r="F35" s="7" t="s">
        <v>150</v>
      </c>
    </row>
    <row r="36" spans="1:7" ht="28">
      <c r="A36" s="8" t="s">
        <v>151</v>
      </c>
      <c r="B36" s="14">
        <v>3</v>
      </c>
      <c r="C36" s="4" t="s">
        <v>61</v>
      </c>
      <c r="D36" s="4" t="s">
        <v>152</v>
      </c>
      <c r="E36" s="4" t="s">
        <v>65</v>
      </c>
      <c r="F36" s="9" t="s">
        <v>153</v>
      </c>
    </row>
    <row r="37" spans="1:7" ht="28">
      <c r="A37" s="8" t="s">
        <v>154</v>
      </c>
      <c r="B37" s="14">
        <v>6</v>
      </c>
      <c r="C37" s="4" t="s">
        <v>61</v>
      </c>
      <c r="D37" s="4" t="s">
        <v>155</v>
      </c>
      <c r="E37" s="4" t="s">
        <v>65</v>
      </c>
      <c r="F37" s="9" t="s">
        <v>156</v>
      </c>
    </row>
    <row r="38" spans="1:7" ht="28">
      <c r="A38" s="8" t="s">
        <v>157</v>
      </c>
      <c r="B38" s="14">
        <v>10</v>
      </c>
      <c r="C38" s="4" t="s">
        <v>61</v>
      </c>
      <c r="D38" s="4" t="s">
        <v>158</v>
      </c>
      <c r="E38" s="4" t="s">
        <v>65</v>
      </c>
      <c r="F38" s="9" t="s">
        <v>159</v>
      </c>
    </row>
    <row r="39" spans="1:7">
      <c r="A39" s="10" t="s">
        <v>257</v>
      </c>
      <c r="B39" s="15">
        <f>$B$35+B36</f>
        <v>59.5</v>
      </c>
      <c r="C39" s="11" t="s">
        <v>61</v>
      </c>
      <c r="D39" s="11" t="s">
        <v>161</v>
      </c>
      <c r="E39" s="11" t="s">
        <v>96</v>
      </c>
      <c r="F39" s="12" t="s">
        <v>259</v>
      </c>
    </row>
    <row r="40" spans="1:7">
      <c r="A40" s="10" t="s">
        <v>160</v>
      </c>
      <c r="B40" s="15">
        <f>$B$35+B37</f>
        <v>62.5</v>
      </c>
      <c r="C40" s="11" t="s">
        <v>61</v>
      </c>
      <c r="D40" s="11" t="s">
        <v>161</v>
      </c>
      <c r="E40" s="11" t="s">
        <v>96</v>
      </c>
      <c r="F40" s="12" t="s">
        <v>260</v>
      </c>
    </row>
    <row r="41" spans="1:7">
      <c r="A41" s="10" t="s">
        <v>258</v>
      </c>
      <c r="B41" s="15">
        <f>$B$35+B38</f>
        <v>66.5</v>
      </c>
      <c r="C41" s="11" t="s">
        <v>61</v>
      </c>
      <c r="D41" s="11" t="s">
        <v>161</v>
      </c>
      <c r="E41" s="11" t="s">
        <v>96</v>
      </c>
      <c r="F41" s="28" t="s">
        <v>261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workbookViewId="0">
      <selection sqref="A1:H1"/>
    </sheetView>
  </sheetViews>
  <sheetFormatPr defaultRowHeight="14"/>
  <cols>
    <col min="1" max="1" width="22.5" customWidth="1"/>
    <col min="2" max="2" width="15" customWidth="1"/>
    <col min="3" max="3" width="10" customWidth="1"/>
    <col min="4" max="4" width="45" customWidth="1"/>
    <col min="5" max="5" width="18.1640625" customWidth="1"/>
    <col min="6" max="6" width="20" customWidth="1"/>
    <col min="7" max="7" width="32.5" customWidth="1"/>
    <col min="8" max="8" width="22.5" customWidth="1"/>
  </cols>
  <sheetData>
    <row r="1" spans="1:8" ht="12" customHeight="1">
      <c r="A1" s="22" t="s">
        <v>162</v>
      </c>
      <c r="B1" s="23"/>
      <c r="C1" s="23"/>
      <c r="D1" s="23"/>
      <c r="E1" s="23"/>
      <c r="F1" s="23"/>
      <c r="G1" s="23"/>
      <c r="H1" s="24"/>
    </row>
    <row r="2" spans="1:8" ht="12" customHeight="1">
      <c r="A2" s="25" t="s">
        <v>163</v>
      </c>
      <c r="B2" s="25"/>
      <c r="C2" s="25"/>
      <c r="D2" s="25"/>
      <c r="E2" s="25"/>
      <c r="F2" s="25"/>
      <c r="G2" s="25"/>
      <c r="H2" s="25"/>
    </row>
    <row r="4" spans="1:8">
      <c r="A4" s="1" t="s">
        <v>164</v>
      </c>
      <c r="B4" s="2" t="s">
        <v>165</v>
      </c>
      <c r="C4" s="2" t="s">
        <v>166</v>
      </c>
      <c r="D4" s="2" t="s">
        <v>167</v>
      </c>
      <c r="E4" s="2" t="s">
        <v>168</v>
      </c>
      <c r="F4" s="2" t="s">
        <v>169</v>
      </c>
      <c r="G4" s="2" t="s">
        <v>170</v>
      </c>
      <c r="H4" s="3" t="s">
        <v>7</v>
      </c>
    </row>
    <row r="5" spans="1:8" ht="28">
      <c r="A5" s="5" t="s">
        <v>25</v>
      </c>
      <c r="B5" s="6" t="s">
        <v>171</v>
      </c>
      <c r="C5" s="6" t="s">
        <v>172</v>
      </c>
      <c r="D5" s="6" t="s">
        <v>173</v>
      </c>
      <c r="E5" s="6" t="s">
        <v>174</v>
      </c>
      <c r="F5" s="6" t="s">
        <v>175</v>
      </c>
      <c r="G5" s="6" t="s">
        <v>176</v>
      </c>
      <c r="H5" s="7" t="s">
        <v>177</v>
      </c>
    </row>
    <row r="6" spans="1:8" ht="42">
      <c r="A6" s="8" t="s">
        <v>29</v>
      </c>
      <c r="B6" s="4" t="s">
        <v>171</v>
      </c>
      <c r="C6" s="4" t="s">
        <v>178</v>
      </c>
      <c r="D6" s="4" t="s">
        <v>173</v>
      </c>
      <c r="E6" s="4" t="s">
        <v>174</v>
      </c>
      <c r="F6" s="4" t="s">
        <v>179</v>
      </c>
      <c r="G6" s="4" t="s">
        <v>180</v>
      </c>
      <c r="H6" s="9" t="s">
        <v>177</v>
      </c>
    </row>
    <row r="7" spans="1:8" ht="28">
      <c r="A7" s="8" t="s">
        <v>65</v>
      </c>
      <c r="B7" s="4" t="s">
        <v>181</v>
      </c>
      <c r="C7" s="4" t="s">
        <v>172</v>
      </c>
      <c r="D7" s="4" t="s">
        <v>182</v>
      </c>
      <c r="E7" s="4" t="s">
        <v>174</v>
      </c>
      <c r="F7" s="4" t="s">
        <v>175</v>
      </c>
      <c r="G7" s="4" t="s">
        <v>176</v>
      </c>
      <c r="H7" s="9" t="s">
        <v>177</v>
      </c>
    </row>
    <row r="8" spans="1:8" ht="42">
      <c r="A8" s="8" t="s">
        <v>62</v>
      </c>
      <c r="B8" s="4" t="s">
        <v>181</v>
      </c>
      <c r="C8" s="4" t="s">
        <v>178</v>
      </c>
      <c r="D8" s="4" t="s">
        <v>182</v>
      </c>
      <c r="E8" s="4" t="s">
        <v>174</v>
      </c>
      <c r="F8" s="4" t="s">
        <v>179</v>
      </c>
      <c r="G8" s="4" t="s">
        <v>183</v>
      </c>
      <c r="H8" s="9" t="s">
        <v>177</v>
      </c>
    </row>
    <row r="9" spans="1:8" ht="28">
      <c r="A9" s="8" t="s">
        <v>53</v>
      </c>
      <c r="B9" s="4" t="s">
        <v>184</v>
      </c>
      <c r="C9" s="4" t="s">
        <v>172</v>
      </c>
      <c r="D9" s="4" t="s">
        <v>185</v>
      </c>
      <c r="E9" s="4" t="s">
        <v>174</v>
      </c>
      <c r="F9" s="4" t="s">
        <v>175</v>
      </c>
      <c r="G9" s="4" t="s">
        <v>186</v>
      </c>
      <c r="H9" s="9" t="s">
        <v>177</v>
      </c>
    </row>
    <row r="10" spans="1:8" ht="42">
      <c r="A10" s="10" t="s">
        <v>44</v>
      </c>
      <c r="B10" s="11" t="s">
        <v>184</v>
      </c>
      <c r="C10" s="11" t="s">
        <v>178</v>
      </c>
      <c r="D10" s="11" t="s">
        <v>185</v>
      </c>
      <c r="E10" s="11" t="s">
        <v>174</v>
      </c>
      <c r="F10" s="11" t="s">
        <v>179</v>
      </c>
      <c r="G10" s="11" t="s">
        <v>187</v>
      </c>
      <c r="H10" s="12" t="s">
        <v>177</v>
      </c>
    </row>
    <row r="13" spans="1:8" ht="28">
      <c r="A13" s="1" t="s">
        <v>188</v>
      </c>
      <c r="B13" s="2" t="s">
        <v>3</v>
      </c>
      <c r="C13" s="2" t="s">
        <v>4</v>
      </c>
      <c r="D13" s="3" t="s">
        <v>7</v>
      </c>
    </row>
    <row r="14" spans="1:8">
      <c r="A14" s="5" t="s">
        <v>92</v>
      </c>
      <c r="B14" s="17">
        <v>0.6</v>
      </c>
      <c r="C14" s="6" t="s">
        <v>19</v>
      </c>
      <c r="D14" s="7" t="s">
        <v>189</v>
      </c>
    </row>
    <row r="15" spans="1:8">
      <c r="A15" s="8" t="s">
        <v>21</v>
      </c>
      <c r="B15" s="16">
        <v>0.4</v>
      </c>
      <c r="C15" s="4" t="s">
        <v>19</v>
      </c>
      <c r="D15" s="9" t="s">
        <v>189</v>
      </c>
    </row>
    <row r="16" spans="1:8">
      <c r="A16" s="8" t="s">
        <v>190</v>
      </c>
      <c r="B16" s="4" t="s">
        <v>191</v>
      </c>
      <c r="C16" s="4" t="s">
        <v>77</v>
      </c>
      <c r="D16" s="9" t="s">
        <v>192</v>
      </c>
    </row>
    <row r="17" spans="1:4">
      <c r="A17" s="8" t="s">
        <v>193</v>
      </c>
      <c r="B17" s="4" t="s">
        <v>191</v>
      </c>
      <c r="C17" s="4" t="s">
        <v>77</v>
      </c>
      <c r="D17" s="9" t="s">
        <v>192</v>
      </c>
    </row>
    <row r="18" spans="1:4">
      <c r="A18" s="10" t="s">
        <v>194</v>
      </c>
      <c r="B18" s="11" t="s">
        <v>195</v>
      </c>
      <c r="C18" s="11" t="s">
        <v>77</v>
      </c>
      <c r="D18" s="12" t="s">
        <v>196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workbookViewId="0">
      <selection activeCell="C7" sqref="C7"/>
    </sheetView>
  </sheetViews>
  <sheetFormatPr defaultRowHeight="14"/>
  <cols>
    <col min="1" max="1" width="8.75" customWidth="1"/>
    <col min="2" max="2" width="48.75" customWidth="1"/>
    <col min="3" max="3" width="31.25" customWidth="1"/>
    <col min="4" max="4" width="20" customWidth="1"/>
    <col min="5" max="5" width="60" customWidth="1"/>
  </cols>
  <sheetData>
    <row r="1" spans="1:5" ht="12" customHeight="1">
      <c r="A1" s="22" t="s">
        <v>197</v>
      </c>
      <c r="B1" s="23"/>
      <c r="C1" s="23"/>
      <c r="D1" s="23"/>
      <c r="E1" s="24"/>
    </row>
    <row r="2" spans="1:5" ht="12" customHeight="1">
      <c r="A2" s="25" t="s">
        <v>198</v>
      </c>
      <c r="B2" s="25"/>
      <c r="C2" s="25"/>
      <c r="D2" s="25"/>
      <c r="E2" s="25"/>
    </row>
    <row r="4" spans="1:5">
      <c r="A4" s="1" t="s">
        <v>199</v>
      </c>
      <c r="B4" s="2" t="s">
        <v>200</v>
      </c>
      <c r="C4" s="2" t="s">
        <v>201</v>
      </c>
      <c r="D4" s="2" t="s">
        <v>5</v>
      </c>
      <c r="E4" s="3" t="s">
        <v>202</v>
      </c>
    </row>
    <row r="5" spans="1:5" ht="28">
      <c r="A5" s="5" t="s">
        <v>25</v>
      </c>
      <c r="B5" s="6" t="s">
        <v>203</v>
      </c>
      <c r="C5" s="6" t="s">
        <v>204</v>
      </c>
      <c r="D5" s="6" t="s">
        <v>205</v>
      </c>
      <c r="E5" s="7" t="s">
        <v>206</v>
      </c>
    </row>
    <row r="6" spans="1:5" ht="28">
      <c r="A6" s="8" t="s">
        <v>29</v>
      </c>
      <c r="B6" s="4" t="s">
        <v>207</v>
      </c>
      <c r="C6" s="4" t="s">
        <v>208</v>
      </c>
      <c r="D6" s="4" t="s">
        <v>209</v>
      </c>
      <c r="E6" s="9" t="s">
        <v>210</v>
      </c>
    </row>
    <row r="7" spans="1:5" ht="28">
      <c r="A7" s="8" t="s">
        <v>65</v>
      </c>
      <c r="B7" s="4" t="s">
        <v>211</v>
      </c>
      <c r="C7" s="4" t="s">
        <v>212</v>
      </c>
      <c r="D7" s="4" t="s">
        <v>213</v>
      </c>
      <c r="E7" s="9" t="s">
        <v>214</v>
      </c>
    </row>
    <row r="8" spans="1:5" ht="42">
      <c r="A8" s="8" t="s">
        <v>62</v>
      </c>
      <c r="B8" s="4" t="s">
        <v>215</v>
      </c>
      <c r="C8" s="4" t="s">
        <v>216</v>
      </c>
      <c r="D8" s="4" t="s">
        <v>217</v>
      </c>
      <c r="E8" s="9" t="s">
        <v>218</v>
      </c>
    </row>
    <row r="9" spans="1:5" ht="28">
      <c r="A9" s="8" t="s">
        <v>53</v>
      </c>
      <c r="B9" s="4" t="s">
        <v>219</v>
      </c>
      <c r="C9" s="4" t="s">
        <v>220</v>
      </c>
      <c r="D9" s="4" t="s">
        <v>221</v>
      </c>
      <c r="E9" s="9" t="s">
        <v>222</v>
      </c>
    </row>
    <row r="10" spans="1:5" ht="56">
      <c r="A10" s="8" t="s">
        <v>44</v>
      </c>
      <c r="B10" s="4" t="s">
        <v>223</v>
      </c>
      <c r="C10" s="4" t="s">
        <v>224</v>
      </c>
      <c r="D10" s="4" t="s">
        <v>225</v>
      </c>
      <c r="E10" s="9" t="s">
        <v>226</v>
      </c>
    </row>
    <row r="11" spans="1:5" ht="28">
      <c r="A11" s="8" t="s">
        <v>16</v>
      </c>
      <c r="B11" s="4" t="s">
        <v>227</v>
      </c>
      <c r="C11" s="4" t="s">
        <v>228</v>
      </c>
      <c r="D11" s="4" t="s">
        <v>229</v>
      </c>
      <c r="E11" s="9" t="s">
        <v>230</v>
      </c>
    </row>
    <row r="12" spans="1:5" ht="42">
      <c r="A12" s="10" t="s">
        <v>12</v>
      </c>
      <c r="B12" s="11" t="s">
        <v>231</v>
      </c>
      <c r="C12" s="11" t="s">
        <v>232</v>
      </c>
      <c r="D12" s="11" t="s">
        <v>233</v>
      </c>
      <c r="E12" s="12" t="s">
        <v>234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 Parameters</vt:lpstr>
      <vt:lpstr>Parameters</vt:lpstr>
      <vt:lpstr>Demand Calculations</vt:lpstr>
      <vt:lpstr>CO2 Calculations</vt:lpstr>
      <vt:lpstr>Scenarios &amp; Assumptions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Johannes Felipe Giehl</cp:lastModifiedBy>
  <dcterms:created xsi:type="dcterms:W3CDTF">2026-07-08T20:25:00Z</dcterms:created>
  <dcterms:modified xsi:type="dcterms:W3CDTF">2026-07-08T20:25:00Z</dcterms:modified>
</cp:coreProperties>
</file>